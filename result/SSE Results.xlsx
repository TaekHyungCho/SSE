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_Error Summary" sheetId="1" r:id="rId4"/>
    <sheet state="visible" name="Detection Summary" sheetId="2" r:id="rId5"/>
    <sheet state="visible" name="Track Summary" sheetId="3" r:id="rId6"/>
  </sheets>
  <definedNames/>
  <calcPr/>
</workbook>
</file>

<file path=xl/sharedStrings.xml><?xml version="1.0" encoding="utf-8"?>
<sst xmlns="http://schemas.openxmlformats.org/spreadsheetml/2006/main" count="256" uniqueCount="48">
  <si>
    <t>w/ additional activation (s=2.0)</t>
  </si>
  <si>
    <t>w/o additional activation (s=2.0)</t>
  </si>
  <si>
    <t>Combine</t>
  </si>
  <si>
    <t xml:space="preserve">Isolate </t>
  </si>
  <si>
    <t>Isolate</t>
  </si>
  <si>
    <t>P2</t>
  </si>
  <si>
    <t>P3</t>
  </si>
  <si>
    <t>P4</t>
  </si>
  <si>
    <t>SESN</t>
  </si>
  <si>
    <t>DISCO(P)</t>
  </si>
  <si>
    <t>DISCO(W)</t>
  </si>
  <si>
    <t>Ours</t>
  </si>
  <si>
    <t>Annotation</t>
  </si>
  <si>
    <t xml:space="preserve">Combine : Fused scales in scale channels, Isolate : One scale in each scale dimensions </t>
  </si>
  <si>
    <t>(P) : Pure disco basis</t>
  </si>
  <si>
    <t>(W) : disco basis combined with 2D hermite gaussian</t>
  </si>
  <si>
    <t>Red bold means the best performance among combine and isolate</t>
  </si>
  <si>
    <t>Black bold means the best for each version, except the red bold.</t>
  </si>
  <si>
    <t>Method</t>
  </si>
  <si>
    <t>Car</t>
  </si>
  <si>
    <t>Ped</t>
  </si>
  <si>
    <t>Cyc</t>
  </si>
  <si>
    <t>Total</t>
  </si>
  <si>
    <t>Deformable DETR</t>
  </si>
  <si>
    <t>Original</t>
  </si>
  <si>
    <t>Summary</t>
  </si>
  <si>
    <t>DISCO (P)</t>
  </si>
  <si>
    <t>DISCO (W)</t>
  </si>
  <si>
    <t>Deformable DAB DETR</t>
  </si>
  <si>
    <t>DINO</t>
  </si>
  <si>
    <t>Setup details : Add additional activation in whole scale-equivariant backbones</t>
  </si>
  <si>
    <t>Combine (w/o nms)</t>
  </si>
  <si>
    <t>Combine (w/ nms, AUC)</t>
  </si>
  <si>
    <t>Model</t>
  </si>
  <si>
    <t>HOTA(↑)</t>
  </si>
  <si>
    <t>MOTP(↑)</t>
  </si>
  <si>
    <t>AssA(↑)</t>
  </si>
  <si>
    <t>IDF1(↑)</t>
  </si>
  <si>
    <t>IDSW(↓)</t>
  </si>
  <si>
    <t>Frag(↓)</t>
  </si>
  <si>
    <t>DetA(↑)</t>
  </si>
  <si>
    <t>DISCO</t>
  </si>
  <si>
    <t>Deformable DABDETR</t>
  </si>
  <si>
    <t>Isolate (w/o nms)</t>
  </si>
  <si>
    <t>Isolate(w/ nms, AUC)</t>
  </si>
  <si>
    <t xml:space="preserve">Combine: Fused scales in scale channels, Isolate : One scale in each scale dimensions </t>
  </si>
  <si>
    <t>Disco basis combined with 2D hermite gaussian</t>
  </si>
  <si>
    <t>Cyan blocks mean the better results between combine and isolate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</si>
</sst>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14">
    <font>
      <sz val="10.0"/>
      <color rgb="FF000000"/>
      <name val="Arial"/>
      <scheme val="minor"/>
    </font>
    <font>
      <color theme="1"/>
      <name val="Arial"/>
      <scheme val="minor"/>
    </font>
    <font/>
    <font>
      <sz val="9.0"/>
      <color rgb="FF000000"/>
      <name val="&quot;Google Sans Mono&quot;"/>
    </font>
    <font>
      <b/>
      <sz val="9.0"/>
      <color rgb="FFFF0000"/>
      <name val="&quot;Google Sans Mono&quot;"/>
    </font>
    <font>
      <b/>
      <i/>
      <sz val="9.0"/>
      <color rgb="FF000000"/>
      <name val="&quot;Google Sans Mono&quot;"/>
    </font>
    <font>
      <b/>
      <color rgb="FFFF0000"/>
      <name val="Arial"/>
    </font>
    <font>
      <b/>
      <color theme="1"/>
      <name val="Arial"/>
    </font>
    <font>
      <color theme="1"/>
      <name val="Arial"/>
    </font>
    <font>
      <b/>
      <color rgb="FF000000"/>
      <name val="Arial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FF0000"/>
      <name val="Calibri"/>
    </font>
    <font>
      <b/>
      <sz val="11.0"/>
      <color rgb="FF0000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rgb="FF00FF00"/>
        <bgColor rgb="FF00FF00"/>
      </patternFill>
    </fill>
    <fill>
      <patternFill patternType="solid">
        <fgColor theme="9"/>
        <bgColor theme="9"/>
      </patternFill>
    </fill>
    <fill>
      <patternFill patternType="solid">
        <fgColor rgb="FF46BDC6"/>
        <bgColor rgb="FF46BDC6"/>
      </patternFill>
    </fill>
  </fills>
  <borders count="9">
    <border/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1" numFmtId="0" xfId="0" applyAlignment="1" applyFill="1" applyFont="1">
      <alignment horizontal="center" readingOrder="0" vertical="center"/>
    </xf>
    <xf borderId="0" fillId="3" fontId="1" numFmtId="0" xfId="0" applyAlignment="1" applyFont="1">
      <alignment horizontal="center" readingOrder="0"/>
    </xf>
    <xf borderId="0" fillId="4" fontId="1" numFmtId="0" xfId="0" applyAlignment="1" applyFill="1" applyFont="1">
      <alignment horizontal="center" readingOrder="0" vertical="center"/>
    </xf>
    <xf borderId="1" fillId="0" fontId="2" numFmtId="0" xfId="0" applyBorder="1" applyFont="1"/>
    <xf borderId="0" fillId="5" fontId="1" numFmtId="0" xfId="0" applyAlignment="1" applyFill="1" applyFont="1">
      <alignment horizontal="center" readingOrder="0" vertical="center"/>
    </xf>
    <xf borderId="0" fillId="4" fontId="1" numFmtId="0" xfId="0" applyAlignment="1" applyFont="1">
      <alignment horizontal="center" readingOrder="0"/>
    </xf>
    <xf borderId="0" fillId="5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6" fontId="3" numFmtId="0" xfId="0" applyAlignment="1" applyFill="1" applyFont="1">
      <alignment readingOrder="0"/>
    </xf>
    <xf borderId="1" fillId="6" fontId="3" numFmtId="0" xfId="0" applyAlignment="1" applyBorder="1" applyFont="1">
      <alignment readingOrder="0"/>
    </xf>
    <xf borderId="0" fillId="6" fontId="4" numFmtId="0" xfId="0" applyAlignment="1" applyFont="1">
      <alignment readingOrder="0"/>
    </xf>
    <xf borderId="1" fillId="6" fontId="4" numFmtId="0" xfId="0" applyAlignment="1" applyBorder="1" applyFont="1">
      <alignment readingOrder="0"/>
    </xf>
    <xf borderId="0" fillId="6" fontId="5" numFmtId="0" xfId="0" applyAlignment="1" applyFont="1">
      <alignment readingOrder="0"/>
    </xf>
    <xf borderId="1" fillId="6" fontId="5" numFmtId="0" xfId="0" applyAlignment="1" applyBorder="1" applyFont="1">
      <alignment readingOrder="0"/>
    </xf>
    <xf borderId="0" fillId="7" fontId="1" numFmtId="0" xfId="0" applyAlignment="1" applyFill="1" applyFont="1">
      <alignment horizontal="center" readingOrder="0"/>
    </xf>
    <xf borderId="2" fillId="0" fontId="1" numFmtId="0" xfId="0" applyAlignment="1" applyBorder="1" applyFont="1">
      <alignment readingOrder="0" vertical="center"/>
    </xf>
    <xf borderId="3" fillId="0" fontId="1" numFmtId="0" xfId="0" applyAlignment="1" applyBorder="1" applyFont="1">
      <alignment readingOrder="0" vertical="center"/>
    </xf>
    <xf borderId="4" fillId="0" fontId="2" numFmtId="0" xfId="0" applyBorder="1" applyFont="1"/>
    <xf borderId="5" fillId="0" fontId="2" numFmtId="0" xfId="0" applyBorder="1" applyFont="1"/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readingOrder="0" vertical="bottom"/>
    </xf>
    <xf borderId="0" fillId="4" fontId="8" numFmtId="0" xfId="0" applyAlignment="1" applyFont="1">
      <alignment horizontal="center" readingOrder="0" vertical="bottom"/>
    </xf>
    <xf borderId="0" fillId="2" fontId="8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5" fontId="8" numFmtId="0" xfId="0" applyAlignment="1" applyFont="1">
      <alignment horizontal="center" vertical="bottom"/>
    </xf>
    <xf borderId="0" fillId="0" fontId="8" numFmtId="0" xfId="0" applyAlignment="1" applyFont="1">
      <alignment horizontal="center" readingOrder="0" vertical="center"/>
    </xf>
    <xf borderId="0" fillId="0" fontId="8" numFmtId="0" xfId="0" applyAlignment="1" applyFont="1">
      <alignment horizontal="center" vertical="bottom"/>
    </xf>
    <xf borderId="0" fillId="0" fontId="8" numFmtId="2" xfId="0" applyAlignment="1" applyFont="1" applyNumberFormat="1">
      <alignment horizontal="center" vertical="bottom"/>
    </xf>
    <xf borderId="1" fillId="0" fontId="8" numFmtId="2" xfId="0" applyAlignment="1" applyBorder="1" applyFont="1" applyNumberFormat="1">
      <alignment horizontal="center" vertical="bottom"/>
    </xf>
    <xf borderId="0" fillId="0" fontId="8" numFmtId="2" xfId="0" applyAlignment="1" applyFont="1" applyNumberFormat="1">
      <alignment horizontal="right" vertical="bottom"/>
    </xf>
    <xf borderId="0" fillId="8" fontId="8" numFmtId="0" xfId="0" applyAlignment="1" applyFill="1" applyFont="1">
      <alignment horizontal="center" vertical="bottom"/>
    </xf>
    <xf borderId="1" fillId="0" fontId="8" numFmtId="0" xfId="0" applyAlignment="1" applyBorder="1" applyFont="1">
      <alignment horizontal="center" vertical="bottom"/>
    </xf>
    <xf borderId="4" fillId="0" fontId="9" numFmtId="2" xfId="0" applyAlignment="1" applyBorder="1" applyFont="1" applyNumberFormat="1">
      <alignment horizontal="center" vertical="bottom"/>
    </xf>
    <xf borderId="5" fillId="0" fontId="9" numFmtId="2" xfId="0" applyAlignment="1" applyBorder="1" applyFont="1" applyNumberFormat="1">
      <alignment horizontal="center" vertical="bottom"/>
    </xf>
    <xf borderId="4" fillId="0" fontId="9" numFmtId="2" xfId="0" applyAlignment="1" applyBorder="1" applyFont="1" applyNumberFormat="1">
      <alignment horizontal="right" vertical="bottom"/>
    </xf>
    <xf borderId="4" fillId="0" fontId="7" numFmtId="2" xfId="0" applyAlignment="1" applyBorder="1" applyFont="1" applyNumberFormat="1">
      <alignment horizontal="center" vertical="bottom"/>
    </xf>
    <xf borderId="5" fillId="0" fontId="7" numFmtId="2" xfId="0" applyAlignment="1" applyBorder="1" applyFont="1" applyNumberFormat="1">
      <alignment horizontal="center" vertical="bottom"/>
    </xf>
    <xf borderId="4" fillId="0" fontId="6" numFmtId="2" xfId="0" applyAlignment="1" applyBorder="1" applyFont="1" applyNumberFormat="1">
      <alignment horizontal="center" vertical="bottom"/>
    </xf>
    <xf borderId="5" fillId="0" fontId="6" numFmtId="2" xfId="0" applyAlignment="1" applyBorder="1" applyFont="1" applyNumberFormat="1">
      <alignment horizontal="center" vertical="bottom"/>
    </xf>
    <xf borderId="0" fillId="0" fontId="9" numFmtId="2" xfId="0" applyAlignment="1" applyFont="1" applyNumberFormat="1">
      <alignment horizontal="center" vertical="bottom"/>
    </xf>
    <xf borderId="0" fillId="0" fontId="7" numFmtId="2" xfId="0" applyAlignment="1" applyFont="1" applyNumberFormat="1">
      <alignment horizontal="center" vertical="bottom"/>
    </xf>
    <xf borderId="4" fillId="0" fontId="8" numFmtId="2" xfId="0" applyAlignment="1" applyBorder="1" applyFont="1" applyNumberFormat="1">
      <alignment horizontal="center" vertical="bottom"/>
    </xf>
    <xf borderId="0" fillId="0" fontId="6" numFmtId="2" xfId="0" applyAlignment="1" applyFont="1" applyNumberFormat="1">
      <alignment horizontal="center" vertical="bottom"/>
    </xf>
    <xf borderId="0" fillId="0" fontId="8" numFmtId="0" xfId="0" applyAlignment="1" applyFont="1">
      <alignment horizontal="center" vertical="center"/>
    </xf>
    <xf borderId="1" fillId="0" fontId="9" numFmtId="2" xfId="0" applyAlignment="1" applyBorder="1" applyFont="1" applyNumberFormat="1">
      <alignment horizontal="center" vertical="bottom"/>
    </xf>
    <xf borderId="5" fillId="0" fontId="8" numFmtId="2" xfId="0" applyAlignment="1" applyBorder="1" applyFont="1" applyNumberFormat="1">
      <alignment horizontal="center" vertical="bottom"/>
    </xf>
    <xf borderId="0" fillId="0" fontId="8" numFmtId="0" xfId="0" applyAlignment="1" applyFont="1">
      <alignment vertical="center"/>
    </xf>
    <xf borderId="0" fillId="5" fontId="8" numFmtId="0" xfId="0" applyAlignment="1" applyFont="1">
      <alignment horizontal="center" vertical="center"/>
    </xf>
    <xf borderId="0" fillId="7" fontId="8" numFmtId="0" xfId="0" applyAlignment="1" applyFont="1">
      <alignment horizontal="center" vertical="bottom"/>
    </xf>
    <xf borderId="6" fillId="0" fontId="8" numFmtId="0" xfId="0" applyBorder="1" applyFont="1"/>
    <xf borderId="7" fillId="0" fontId="2" numFmtId="0" xfId="0" applyBorder="1" applyFont="1"/>
    <xf borderId="8" fillId="0" fontId="2" numFmtId="0" xfId="0" applyBorder="1" applyFont="1"/>
    <xf borderId="2" fillId="0" fontId="8" numFmtId="0" xfId="0" applyAlignment="1" applyBorder="1" applyFont="1">
      <alignment readingOrder="0"/>
    </xf>
    <xf borderId="2" fillId="0" fontId="8" numFmtId="0" xfId="0" applyBorder="1" applyFont="1"/>
    <xf borderId="3" fillId="0" fontId="8" numFmtId="0" xfId="0" applyBorder="1" applyFont="1"/>
    <xf borderId="0" fillId="0" fontId="8" numFmtId="0" xfId="0" applyFont="1"/>
    <xf borderId="0" fillId="0" fontId="8" numFmtId="0" xfId="0" applyAlignment="1" applyFont="1">
      <alignment horizontal="center"/>
    </xf>
    <xf borderId="0" fillId="0" fontId="8" numFmtId="0" xfId="0" applyAlignment="1" applyFont="1">
      <alignment horizontal="center" readingOrder="0" vertical="bottom"/>
    </xf>
    <xf borderId="1" fillId="0" fontId="8" numFmtId="0" xfId="0" applyAlignment="1" applyBorder="1" applyFont="1">
      <alignment horizontal="center" readingOrder="0" vertical="bottom"/>
    </xf>
    <xf borderId="0" fillId="0" fontId="10" numFmtId="2" xfId="0" applyAlignment="1" applyFont="1" applyNumberFormat="1">
      <alignment horizontal="right" vertical="bottom"/>
    </xf>
    <xf borderId="0" fillId="0" fontId="10" numFmtId="1" xfId="0" applyAlignment="1" applyFont="1" applyNumberFormat="1">
      <alignment horizontal="right" vertical="bottom"/>
    </xf>
    <xf borderId="1" fillId="0" fontId="10" numFmtId="2" xfId="0" applyAlignment="1" applyBorder="1" applyFont="1" applyNumberFormat="1">
      <alignment horizontal="right" vertical="bottom"/>
    </xf>
    <xf borderId="0" fillId="0" fontId="11" numFmtId="2" xfId="0" applyAlignment="1" applyFont="1" applyNumberFormat="1">
      <alignment horizontal="right" vertical="bottom"/>
    </xf>
    <xf borderId="0" fillId="9" fontId="12" numFmtId="2" xfId="0" applyAlignment="1" applyFill="1" applyFont="1" applyNumberFormat="1">
      <alignment horizontal="right" vertical="bottom"/>
    </xf>
    <xf borderId="0" fillId="9" fontId="12" numFmtId="1" xfId="0" applyAlignment="1" applyFont="1" applyNumberFormat="1">
      <alignment horizontal="right" vertical="bottom"/>
    </xf>
    <xf borderId="1" fillId="0" fontId="11" numFmtId="2" xfId="0" applyAlignment="1" applyBorder="1" applyFont="1" applyNumberFormat="1">
      <alignment horizontal="right" vertical="bottom"/>
    </xf>
    <xf borderId="0" fillId="9" fontId="11" numFmtId="2" xfId="0" applyAlignment="1" applyFont="1" applyNumberFormat="1">
      <alignment horizontal="right" vertical="bottom"/>
    </xf>
    <xf borderId="0" fillId="9" fontId="10" numFmtId="2" xfId="0" applyAlignment="1" applyFont="1" applyNumberFormat="1">
      <alignment horizontal="right" vertical="bottom"/>
    </xf>
    <xf borderId="0" fillId="9" fontId="10" numFmtId="1" xfId="0" applyAlignment="1" applyFont="1" applyNumberFormat="1">
      <alignment horizontal="right" vertical="bottom"/>
    </xf>
    <xf borderId="1" fillId="9" fontId="11" numFmtId="2" xfId="0" applyAlignment="1" applyBorder="1" applyFont="1" applyNumberFormat="1">
      <alignment horizontal="right" vertical="bottom"/>
    </xf>
    <xf borderId="0" fillId="10" fontId="12" numFmtId="2" xfId="0" applyAlignment="1" applyFill="1" applyFont="1" applyNumberFormat="1">
      <alignment horizontal="right" vertical="bottom"/>
    </xf>
    <xf borderId="0" fillId="10" fontId="11" numFmtId="2" xfId="0" applyAlignment="1" applyFont="1" applyNumberFormat="1">
      <alignment horizontal="right" vertical="bottom"/>
    </xf>
    <xf borderId="1" fillId="10" fontId="12" numFmtId="2" xfId="0" applyAlignment="1" applyBorder="1" applyFont="1" applyNumberFormat="1">
      <alignment horizontal="right" vertical="bottom"/>
    </xf>
    <xf borderId="0" fillId="10" fontId="10" numFmtId="2" xfId="0" applyAlignment="1" applyFont="1" applyNumberFormat="1">
      <alignment horizontal="right" vertical="bottom"/>
    </xf>
    <xf borderId="0" fillId="9" fontId="11" numFmtId="1" xfId="0" applyAlignment="1" applyFont="1" applyNumberFormat="1">
      <alignment horizontal="right" vertical="bottom"/>
    </xf>
    <xf borderId="4" fillId="0" fontId="10" numFmtId="2" xfId="0" applyAlignment="1" applyBorder="1" applyFont="1" applyNumberFormat="1">
      <alignment horizontal="right" vertical="bottom"/>
    </xf>
    <xf borderId="4" fillId="0" fontId="11" numFmtId="2" xfId="0" applyAlignment="1" applyBorder="1" applyFont="1" applyNumberFormat="1">
      <alignment horizontal="right" vertical="bottom"/>
    </xf>
    <xf borderId="4" fillId="9" fontId="10" numFmtId="2" xfId="0" applyAlignment="1" applyBorder="1" applyFont="1" applyNumberFormat="1">
      <alignment horizontal="right" vertical="bottom"/>
    </xf>
    <xf borderId="4" fillId="0" fontId="10" numFmtId="1" xfId="0" applyAlignment="1" applyBorder="1" applyFont="1" applyNumberFormat="1">
      <alignment horizontal="right" vertical="bottom"/>
    </xf>
    <xf borderId="4" fillId="9" fontId="12" numFmtId="1" xfId="0" applyAlignment="1" applyBorder="1" applyFont="1" applyNumberFormat="1">
      <alignment horizontal="right" vertical="bottom"/>
    </xf>
    <xf borderId="5" fillId="0" fontId="10" numFmtId="2" xfId="0" applyAlignment="1" applyBorder="1" applyFont="1" applyNumberFormat="1">
      <alignment horizontal="right" vertical="bottom"/>
    </xf>
    <xf borderId="4" fillId="9" fontId="10" numFmtId="1" xfId="0" applyAlignment="1" applyBorder="1" applyFont="1" applyNumberFormat="1">
      <alignment horizontal="right" vertical="bottom"/>
    </xf>
    <xf borderId="4" fillId="9" fontId="11" numFmtId="2" xfId="0" applyAlignment="1" applyBorder="1" applyFont="1" applyNumberFormat="1">
      <alignment horizontal="right" vertical="bottom"/>
    </xf>
    <xf borderId="4" fillId="10" fontId="12" numFmtId="2" xfId="0" applyAlignment="1" applyBorder="1" applyFont="1" applyNumberFormat="1">
      <alignment horizontal="right" vertical="bottom"/>
    </xf>
    <xf borderId="4" fillId="9" fontId="11" numFmtId="1" xfId="0" applyAlignment="1" applyBorder="1" applyFont="1" applyNumberFormat="1">
      <alignment horizontal="right" vertical="bottom"/>
    </xf>
    <xf borderId="5" fillId="0" fontId="11" numFmtId="2" xfId="0" applyAlignment="1" applyBorder="1" applyFont="1" applyNumberFormat="1">
      <alignment horizontal="right" vertical="bottom"/>
    </xf>
    <xf borderId="4" fillId="10" fontId="10" numFmtId="2" xfId="0" applyAlignment="1" applyBorder="1" applyFont="1" applyNumberFormat="1">
      <alignment horizontal="right" vertical="bottom"/>
    </xf>
    <xf borderId="0" fillId="0" fontId="11" numFmtId="1" xfId="0" applyAlignment="1" applyFont="1" applyNumberFormat="1">
      <alignment horizontal="right" vertical="bottom"/>
    </xf>
    <xf borderId="1" fillId="9" fontId="10" numFmtId="2" xfId="0" applyAlignment="1" applyBorder="1" applyFont="1" applyNumberFormat="1">
      <alignment horizontal="right" vertical="bottom"/>
    </xf>
    <xf borderId="1" fillId="10" fontId="11" numFmtId="2" xfId="0" applyAlignment="1" applyBorder="1" applyFont="1" applyNumberFormat="1">
      <alignment horizontal="right" vertical="bottom"/>
    </xf>
    <xf borderId="1" fillId="10" fontId="10" numFmtId="2" xfId="0" applyAlignment="1" applyBorder="1" applyFont="1" applyNumberFormat="1">
      <alignment horizontal="right" vertical="bottom"/>
    </xf>
    <xf borderId="4" fillId="9" fontId="12" numFmtId="2" xfId="0" applyAlignment="1" applyBorder="1" applyFont="1" applyNumberFormat="1">
      <alignment horizontal="right" vertical="bottom"/>
    </xf>
    <xf borderId="5" fillId="9" fontId="12" numFmtId="2" xfId="0" applyAlignment="1" applyBorder="1" applyFont="1" applyNumberFormat="1">
      <alignment horizontal="right" vertical="bottom"/>
    </xf>
    <xf borderId="5" fillId="10" fontId="12" numFmtId="2" xfId="0" applyAlignment="1" applyBorder="1" applyFont="1" applyNumberFormat="1">
      <alignment horizontal="right" vertical="bottom"/>
    </xf>
    <xf borderId="4" fillId="10" fontId="11" numFmtId="2" xfId="0" applyAlignment="1" applyBorder="1" applyFont="1" applyNumberFormat="1">
      <alignment horizontal="right" vertical="bottom"/>
    </xf>
    <xf borderId="4" fillId="0" fontId="11" numFmtId="1" xfId="0" applyAlignment="1" applyBorder="1" applyFont="1" applyNumberFormat="1">
      <alignment horizontal="right" vertical="bottom"/>
    </xf>
    <xf borderId="0" fillId="5" fontId="8" numFmtId="0" xfId="0" applyAlignment="1" applyFont="1">
      <alignment horizontal="center" readingOrder="0" vertical="bottom"/>
    </xf>
    <xf borderId="0" fillId="9" fontId="13" numFmtId="1" xfId="0" applyAlignment="1" applyFont="1" applyNumberFormat="1">
      <alignment horizontal="right" vertical="bottom"/>
    </xf>
    <xf borderId="1" fillId="9" fontId="12" numFmtId="2" xfId="0" applyAlignment="1" applyBorder="1" applyFont="1" applyNumberFormat="1">
      <alignment horizontal="right" vertical="bottom"/>
    </xf>
    <xf borderId="5" fillId="9" fontId="10" numFmtId="2" xfId="0" applyAlignment="1" applyBorder="1" applyFont="1" applyNumberFormat="1">
      <alignment horizontal="right" vertical="bottom"/>
    </xf>
    <xf borderId="5" fillId="10" fontId="10" numFmtId="2" xfId="0" applyAlignment="1" applyBorder="1" applyFont="1" applyNumberFormat="1">
      <alignment horizontal="right" vertical="bottom"/>
    </xf>
    <xf borderId="5" fillId="10" fontId="11" numFmtId="2" xfId="0" applyAlignment="1" applyBorder="1" applyFont="1" applyNumberFormat="1">
      <alignment horizontal="right" vertical="bottom"/>
    </xf>
    <xf borderId="0" fillId="9" fontId="8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</cols>
  <sheetData>
    <row r="1">
      <c r="A1" s="1"/>
      <c r="B1" s="2" t="s">
        <v>0</v>
      </c>
      <c r="H1" s="3" t="s">
        <v>1</v>
      </c>
    </row>
    <row r="2">
      <c r="A2" s="1"/>
      <c r="B2" s="4" t="s">
        <v>2</v>
      </c>
      <c r="D2" s="5"/>
      <c r="E2" s="6" t="s">
        <v>3</v>
      </c>
      <c r="G2" s="5"/>
      <c r="H2" s="7" t="s">
        <v>2</v>
      </c>
      <c r="K2" s="8" t="s">
        <v>4</v>
      </c>
    </row>
    <row r="3">
      <c r="B3" s="9" t="s">
        <v>5</v>
      </c>
      <c r="C3" s="9" t="s">
        <v>6</v>
      </c>
      <c r="D3" s="10" t="s">
        <v>7</v>
      </c>
      <c r="E3" s="9" t="s">
        <v>5</v>
      </c>
      <c r="F3" s="9" t="s">
        <v>6</v>
      </c>
      <c r="G3" s="10" t="s">
        <v>7</v>
      </c>
      <c r="H3" s="9" t="s">
        <v>5</v>
      </c>
      <c r="I3" s="9" t="s">
        <v>6</v>
      </c>
      <c r="J3" s="10" t="s">
        <v>7</v>
      </c>
      <c r="K3" s="9" t="s">
        <v>5</v>
      </c>
      <c r="L3" s="9" t="s">
        <v>6</v>
      </c>
      <c r="M3" s="10" t="s">
        <v>7</v>
      </c>
    </row>
    <row r="4">
      <c r="A4" s="11" t="s">
        <v>8</v>
      </c>
      <c r="B4" s="12">
        <v>0.2297</v>
      </c>
      <c r="C4" s="12">
        <v>0.292</v>
      </c>
      <c r="D4" s="13">
        <v>0.3895</v>
      </c>
      <c r="E4" s="12">
        <v>0.3149</v>
      </c>
      <c r="F4" s="12">
        <v>0.3277</v>
      </c>
      <c r="G4" s="13">
        <v>0.4301</v>
      </c>
      <c r="H4" s="12">
        <v>0.3526</v>
      </c>
      <c r="I4" s="12">
        <v>0.4569</v>
      </c>
      <c r="J4" s="13">
        <v>0.5321</v>
      </c>
      <c r="K4" s="12">
        <v>0.4486</v>
      </c>
      <c r="L4" s="12">
        <v>0.5129</v>
      </c>
      <c r="M4" s="13">
        <v>0.5732</v>
      </c>
    </row>
    <row r="5">
      <c r="A5" s="11" t="s">
        <v>9</v>
      </c>
      <c r="B5" s="12">
        <v>0.2644</v>
      </c>
      <c r="C5" s="12">
        <v>0.2571</v>
      </c>
      <c r="D5" s="13">
        <v>0.3561</v>
      </c>
      <c r="E5" s="12">
        <v>0.2488</v>
      </c>
      <c r="F5" s="12">
        <v>0.2147</v>
      </c>
      <c r="G5" s="13">
        <v>0.3088</v>
      </c>
      <c r="H5" s="12">
        <v>0.3993</v>
      </c>
      <c r="I5" s="12">
        <v>0.3939</v>
      </c>
      <c r="J5" s="13">
        <v>0.4613</v>
      </c>
      <c r="K5" s="12">
        <v>0.3817</v>
      </c>
      <c r="L5" s="12">
        <v>0.3671</v>
      </c>
      <c r="M5" s="13">
        <v>0.4221</v>
      </c>
    </row>
    <row r="6">
      <c r="A6" s="11" t="s">
        <v>10</v>
      </c>
      <c r="B6" s="12">
        <v>0.1812</v>
      </c>
      <c r="C6" s="12">
        <v>0.2165</v>
      </c>
      <c r="D6" s="13">
        <v>0.3031</v>
      </c>
      <c r="E6" s="12">
        <v>0.2365</v>
      </c>
      <c r="F6" s="12">
        <v>0.2364</v>
      </c>
      <c r="G6" s="13">
        <v>0.3222</v>
      </c>
      <c r="H6" s="12">
        <v>0.2794</v>
      </c>
      <c r="I6" s="12">
        <v>0.3898</v>
      </c>
      <c r="J6" s="13">
        <v>0.4704</v>
      </c>
      <c r="K6" s="12">
        <v>0.348</v>
      </c>
      <c r="L6" s="12">
        <v>0.3809</v>
      </c>
      <c r="M6" s="13">
        <v>0.4418</v>
      </c>
    </row>
    <row r="7">
      <c r="A7" s="11" t="s">
        <v>11</v>
      </c>
      <c r="B7" s="14">
        <v>0.0977</v>
      </c>
      <c r="C7" s="14">
        <v>0.1249</v>
      </c>
      <c r="D7" s="15">
        <v>0.1895</v>
      </c>
      <c r="E7" s="16">
        <v>0.1499</v>
      </c>
      <c r="F7" s="16">
        <v>0.1635</v>
      </c>
      <c r="G7" s="17">
        <v>0.238</v>
      </c>
      <c r="H7" s="14">
        <v>0.1522</v>
      </c>
      <c r="I7" s="14">
        <v>0.2077</v>
      </c>
      <c r="J7" s="15">
        <v>0.2655</v>
      </c>
      <c r="K7" s="16">
        <v>0.2537</v>
      </c>
      <c r="L7" s="16">
        <v>0.2973</v>
      </c>
      <c r="M7" s="17">
        <v>0.357</v>
      </c>
    </row>
    <row r="9">
      <c r="H9" s="11"/>
    </row>
    <row r="10">
      <c r="A10" s="18" t="s">
        <v>12</v>
      </c>
    </row>
    <row r="11">
      <c r="A11" s="19" t="s">
        <v>13</v>
      </c>
      <c r="F11" s="5"/>
    </row>
    <row r="12">
      <c r="A12" s="19" t="s">
        <v>14</v>
      </c>
      <c r="F12" s="5"/>
    </row>
    <row r="13">
      <c r="A13" s="20" t="s">
        <v>15</v>
      </c>
      <c r="B13" s="21"/>
      <c r="C13" s="21"/>
      <c r="D13" s="21"/>
      <c r="E13" s="21"/>
      <c r="F13" s="22"/>
    </row>
    <row r="14">
      <c r="A14" s="23" t="s">
        <v>16</v>
      </c>
    </row>
    <row r="15">
      <c r="A15" s="24" t="s">
        <v>17</v>
      </c>
    </row>
  </sheetData>
  <mergeCells count="12">
    <mergeCell ref="H9:J9"/>
    <mergeCell ref="A10:F10"/>
    <mergeCell ref="A11:F11"/>
    <mergeCell ref="A12:F12"/>
    <mergeCell ref="A13:F13"/>
    <mergeCell ref="B1:G1"/>
    <mergeCell ref="H1:M1"/>
    <mergeCell ref="A2:A3"/>
    <mergeCell ref="B2:D2"/>
    <mergeCell ref="E2:G2"/>
    <mergeCell ref="H2:J2"/>
    <mergeCell ref="K2:M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14" max="14" width="20.13"/>
  </cols>
  <sheetData>
    <row r="1">
      <c r="A1" s="25" t="s">
        <v>2</v>
      </c>
      <c r="B1" s="26" t="s">
        <v>18</v>
      </c>
      <c r="C1" s="26" t="s">
        <v>19</v>
      </c>
      <c r="F1" s="26" t="s">
        <v>20</v>
      </c>
      <c r="I1" s="26" t="s">
        <v>21</v>
      </c>
      <c r="L1" s="26" t="s">
        <v>22</v>
      </c>
      <c r="M1" s="27"/>
      <c r="N1" s="27"/>
      <c r="O1" s="27"/>
      <c r="P1" s="25" t="s">
        <v>2</v>
      </c>
      <c r="T1" s="28" t="s">
        <v>4</v>
      </c>
    </row>
    <row r="2">
      <c r="A2" s="29" t="s">
        <v>23</v>
      </c>
      <c r="B2" s="30" t="s">
        <v>24</v>
      </c>
      <c r="C2" s="31">
        <v>85.7835</v>
      </c>
      <c r="D2" s="31">
        <v>81.7817</v>
      </c>
      <c r="E2" s="31">
        <v>76.7012</v>
      </c>
      <c r="F2" s="31">
        <v>64.0949</v>
      </c>
      <c r="G2" s="31">
        <v>60.0293</v>
      </c>
      <c r="H2" s="31">
        <v>55.71</v>
      </c>
      <c r="I2" s="31">
        <v>60.3848</v>
      </c>
      <c r="J2" s="31">
        <v>58.9254</v>
      </c>
      <c r="K2" s="32">
        <v>56.7292</v>
      </c>
      <c r="L2" s="33">
        <v>66.6822</v>
      </c>
      <c r="M2" s="27"/>
      <c r="N2" s="34" t="s">
        <v>25</v>
      </c>
      <c r="O2" s="30" t="s">
        <v>18</v>
      </c>
      <c r="P2" s="30" t="s">
        <v>19</v>
      </c>
      <c r="Q2" s="30" t="s">
        <v>20</v>
      </c>
      <c r="R2" s="30" t="s">
        <v>21</v>
      </c>
      <c r="S2" s="35" t="s">
        <v>22</v>
      </c>
      <c r="T2" s="30" t="s">
        <v>19</v>
      </c>
      <c r="U2" s="30" t="s">
        <v>20</v>
      </c>
      <c r="V2" s="30" t="s">
        <v>21</v>
      </c>
      <c r="W2" s="35" t="s">
        <v>22</v>
      </c>
    </row>
    <row r="3">
      <c r="B3" s="30" t="s">
        <v>8</v>
      </c>
      <c r="C3" s="31">
        <v>87.8347</v>
      </c>
      <c r="D3" s="31">
        <v>86.5513</v>
      </c>
      <c r="E3" s="31">
        <v>80.9079</v>
      </c>
      <c r="F3" s="31">
        <v>72.8133</v>
      </c>
      <c r="G3" s="31">
        <v>69.4913</v>
      </c>
      <c r="H3" s="31">
        <v>65.3023</v>
      </c>
      <c r="I3" s="31">
        <v>74.7278</v>
      </c>
      <c r="J3" s="31">
        <v>70.161</v>
      </c>
      <c r="K3" s="32">
        <v>68.4845</v>
      </c>
      <c r="L3" s="33">
        <v>75.1416</v>
      </c>
      <c r="M3" s="27"/>
      <c r="N3" s="29" t="s">
        <v>23</v>
      </c>
      <c r="O3" s="30" t="s">
        <v>24</v>
      </c>
      <c r="P3" s="31">
        <f t="shared" ref="P3:P17" si="1">AVERAGE(C2:E2)</f>
        <v>81.42213333</v>
      </c>
      <c r="Q3" s="31">
        <f t="shared" ref="Q3:Q17" si="2">AVERAGE(F2:H2)</f>
        <v>59.94473333</v>
      </c>
      <c r="R3" s="31">
        <f t="shared" ref="R3:R17" si="3">AVERAGE(I2:K2)</f>
        <v>58.6798</v>
      </c>
      <c r="S3" s="32">
        <f t="shared" ref="S3:S17" si="4">L2</f>
        <v>66.6822</v>
      </c>
      <c r="T3" s="31">
        <f t="shared" ref="T3:T17" si="5">AVERAGE(C19:E19)</f>
        <v>81.42213333</v>
      </c>
      <c r="U3" s="31">
        <f t="shared" ref="U3:U17" si="6">AVERAGE(F19:H19)</f>
        <v>59.94473333</v>
      </c>
      <c r="V3" s="31">
        <f t="shared" ref="V3:V17" si="7">AVERAGE(I19:K19)</f>
        <v>58.6798</v>
      </c>
      <c r="W3" s="32">
        <f t="shared" ref="W3:W17" si="8">L19</f>
        <v>66.6822</v>
      </c>
    </row>
    <row r="4">
      <c r="B4" s="30" t="s">
        <v>26</v>
      </c>
      <c r="C4" s="30">
        <v>85.56</v>
      </c>
      <c r="D4" s="31">
        <v>83.09</v>
      </c>
      <c r="E4" s="31">
        <v>77.71</v>
      </c>
      <c r="F4" s="31">
        <v>63.65</v>
      </c>
      <c r="G4" s="31">
        <v>59.8599</v>
      </c>
      <c r="H4" s="31">
        <v>56.7628</v>
      </c>
      <c r="I4" s="31">
        <v>60.9308</v>
      </c>
      <c r="J4" s="31">
        <v>60.8415</v>
      </c>
      <c r="K4" s="32">
        <v>59.3216</v>
      </c>
      <c r="L4" s="33">
        <v>67.5264666910574</v>
      </c>
      <c r="M4" s="27"/>
      <c r="O4" s="30" t="s">
        <v>8</v>
      </c>
      <c r="P4" s="31">
        <f t="shared" si="1"/>
        <v>85.09796667</v>
      </c>
      <c r="Q4" s="31">
        <f t="shared" si="2"/>
        <v>69.2023</v>
      </c>
      <c r="R4" s="31">
        <f t="shared" si="3"/>
        <v>71.12443333</v>
      </c>
      <c r="S4" s="32">
        <f t="shared" si="4"/>
        <v>75.1416</v>
      </c>
      <c r="T4" s="31">
        <f t="shared" si="5"/>
        <v>83.95946667</v>
      </c>
      <c r="U4" s="31">
        <f t="shared" si="6"/>
        <v>65.62663333</v>
      </c>
      <c r="V4" s="31">
        <f t="shared" si="7"/>
        <v>66.98673333</v>
      </c>
      <c r="W4" s="32">
        <f t="shared" si="8"/>
        <v>72.19094968</v>
      </c>
    </row>
    <row r="5">
      <c r="B5" s="30" t="s">
        <v>27</v>
      </c>
      <c r="C5" s="31">
        <v>87.7535</v>
      </c>
      <c r="D5" s="31">
        <v>86.5163</v>
      </c>
      <c r="E5" s="31">
        <v>80.8172</v>
      </c>
      <c r="F5" s="31">
        <v>72.0227</v>
      </c>
      <c r="G5" s="31">
        <v>68.3689</v>
      </c>
      <c r="H5" s="31">
        <v>64.8963</v>
      </c>
      <c r="I5" s="31">
        <v>73.4682</v>
      </c>
      <c r="J5" s="31">
        <v>69.3918</v>
      </c>
      <c r="K5" s="32">
        <v>68.2902</v>
      </c>
      <c r="L5" s="33">
        <v>74.6139</v>
      </c>
      <c r="M5" s="27"/>
      <c r="O5" s="30" t="s">
        <v>26</v>
      </c>
      <c r="P5" s="31">
        <f t="shared" si="1"/>
        <v>82.12</v>
      </c>
      <c r="Q5" s="31">
        <f t="shared" si="2"/>
        <v>60.0909</v>
      </c>
      <c r="R5" s="31">
        <f t="shared" si="3"/>
        <v>60.36463333</v>
      </c>
      <c r="S5" s="32">
        <f t="shared" si="4"/>
        <v>67.52646669</v>
      </c>
      <c r="T5" s="31">
        <f t="shared" si="5"/>
        <v>83.93496667</v>
      </c>
      <c r="U5" s="31">
        <f t="shared" si="6"/>
        <v>66.57146667</v>
      </c>
      <c r="V5" s="31">
        <f t="shared" si="7"/>
        <v>70.5818</v>
      </c>
      <c r="W5" s="32">
        <f t="shared" si="8"/>
        <v>73.69608043</v>
      </c>
    </row>
    <row r="6">
      <c r="B6" s="30" t="s">
        <v>11</v>
      </c>
      <c r="C6" s="36">
        <v>88.0251</v>
      </c>
      <c r="D6" s="36">
        <v>87.5154</v>
      </c>
      <c r="E6" s="36">
        <v>83.0969</v>
      </c>
      <c r="F6" s="36">
        <v>75.0609</v>
      </c>
      <c r="G6" s="36">
        <v>70.8234</v>
      </c>
      <c r="H6" s="36">
        <v>66.5958</v>
      </c>
      <c r="I6" s="36">
        <v>80.2343</v>
      </c>
      <c r="J6" s="36">
        <v>73.6097</v>
      </c>
      <c r="K6" s="37">
        <v>71.2236</v>
      </c>
      <c r="L6" s="38">
        <v>77.3539</v>
      </c>
      <c r="M6" s="27"/>
      <c r="O6" s="30" t="s">
        <v>27</v>
      </c>
      <c r="P6" s="31">
        <f t="shared" si="1"/>
        <v>85.029</v>
      </c>
      <c r="Q6" s="31">
        <f t="shared" si="2"/>
        <v>68.4293</v>
      </c>
      <c r="R6" s="31">
        <f t="shared" si="3"/>
        <v>70.3834</v>
      </c>
      <c r="S6" s="32">
        <f t="shared" si="4"/>
        <v>74.6139</v>
      </c>
      <c r="T6" s="31">
        <f t="shared" si="5"/>
        <v>85.9587</v>
      </c>
      <c r="U6" s="31">
        <f t="shared" si="6"/>
        <v>69.1408</v>
      </c>
      <c r="V6" s="31">
        <f t="shared" si="7"/>
        <v>73.30613333</v>
      </c>
      <c r="W6" s="32">
        <f t="shared" si="8"/>
        <v>75.60657042</v>
      </c>
    </row>
    <row r="7">
      <c r="A7" s="29" t="s">
        <v>28</v>
      </c>
      <c r="B7" s="30" t="s">
        <v>24</v>
      </c>
      <c r="C7" s="31">
        <v>86.051</v>
      </c>
      <c r="D7" s="31">
        <v>76.9756</v>
      </c>
      <c r="E7" s="31">
        <v>71.7566</v>
      </c>
      <c r="F7" s="31">
        <v>67.1583</v>
      </c>
      <c r="G7" s="31">
        <v>63.2896</v>
      </c>
      <c r="H7" s="31">
        <v>58.4261</v>
      </c>
      <c r="I7" s="31">
        <v>64.152</v>
      </c>
      <c r="J7" s="31">
        <v>58.1112</v>
      </c>
      <c r="K7" s="32">
        <v>56.3428</v>
      </c>
      <c r="L7" s="33">
        <v>66.9181</v>
      </c>
      <c r="M7" s="27"/>
      <c r="O7" s="30" t="s">
        <v>11</v>
      </c>
      <c r="P7" s="39">
        <f t="shared" si="1"/>
        <v>86.21246667</v>
      </c>
      <c r="Q7" s="39">
        <f t="shared" si="2"/>
        <v>70.8267</v>
      </c>
      <c r="R7" s="39">
        <f t="shared" si="3"/>
        <v>75.02253333</v>
      </c>
      <c r="S7" s="40">
        <f t="shared" si="4"/>
        <v>77.3539</v>
      </c>
      <c r="T7" s="41">
        <f t="shared" si="5"/>
        <v>86.2974</v>
      </c>
      <c r="U7" s="41">
        <f t="shared" si="6"/>
        <v>73.4389</v>
      </c>
      <c r="V7" s="41">
        <f t="shared" si="7"/>
        <v>75.54046667</v>
      </c>
      <c r="W7" s="42">
        <f t="shared" si="8"/>
        <v>78.42559569</v>
      </c>
    </row>
    <row r="8">
      <c r="B8" s="30" t="s">
        <v>8</v>
      </c>
      <c r="C8" s="43">
        <v>88.8294</v>
      </c>
      <c r="D8" s="43">
        <v>82.2172</v>
      </c>
      <c r="E8" s="43">
        <v>78.273</v>
      </c>
      <c r="F8" s="31">
        <v>76.4061</v>
      </c>
      <c r="G8" s="31">
        <v>72.5511</v>
      </c>
      <c r="H8" s="31">
        <v>67.854</v>
      </c>
      <c r="I8" s="31">
        <v>77.9288</v>
      </c>
      <c r="J8" s="31">
        <v>70.2187</v>
      </c>
      <c r="K8" s="32">
        <v>68.9567</v>
      </c>
      <c r="L8" s="33">
        <v>75.915</v>
      </c>
      <c r="M8" s="27"/>
      <c r="N8" s="29" t="s">
        <v>28</v>
      </c>
      <c r="O8" s="30" t="s">
        <v>24</v>
      </c>
      <c r="P8" s="31">
        <f t="shared" si="1"/>
        <v>78.26106667</v>
      </c>
      <c r="Q8" s="31">
        <f t="shared" si="2"/>
        <v>62.958</v>
      </c>
      <c r="R8" s="31">
        <f t="shared" si="3"/>
        <v>59.53533333</v>
      </c>
      <c r="S8" s="32">
        <f t="shared" si="4"/>
        <v>66.9181</v>
      </c>
      <c r="T8" s="31">
        <f t="shared" si="5"/>
        <v>81.42213333</v>
      </c>
      <c r="U8" s="31">
        <f t="shared" si="6"/>
        <v>59.94473333</v>
      </c>
      <c r="V8" s="31">
        <f t="shared" si="7"/>
        <v>58.6798</v>
      </c>
      <c r="W8" s="32">
        <f t="shared" si="8"/>
        <v>66.6822</v>
      </c>
    </row>
    <row r="9">
      <c r="B9" s="30" t="s">
        <v>26</v>
      </c>
      <c r="C9" s="31">
        <v>86.7423</v>
      </c>
      <c r="D9" s="31">
        <v>80.2694</v>
      </c>
      <c r="E9" s="31">
        <v>75.7495</v>
      </c>
      <c r="F9" s="31">
        <v>67.6813</v>
      </c>
      <c r="G9" s="31">
        <v>62.8836</v>
      </c>
      <c r="H9" s="31">
        <v>59.6331</v>
      </c>
      <c r="I9" s="31">
        <v>68.5955</v>
      </c>
      <c r="J9" s="31">
        <v>64.5238</v>
      </c>
      <c r="K9" s="32">
        <v>62.7344</v>
      </c>
      <c r="L9" s="33">
        <v>69.8680908993505</v>
      </c>
      <c r="M9" s="27"/>
      <c r="O9" s="30" t="s">
        <v>8</v>
      </c>
      <c r="P9" s="44">
        <f t="shared" si="1"/>
        <v>83.10653333</v>
      </c>
      <c r="Q9" s="31">
        <f t="shared" si="2"/>
        <v>72.2704</v>
      </c>
      <c r="R9" s="31">
        <f t="shared" si="3"/>
        <v>72.36806667</v>
      </c>
      <c r="S9" s="32">
        <f t="shared" si="4"/>
        <v>75.915</v>
      </c>
      <c r="T9" s="31">
        <f t="shared" si="5"/>
        <v>83.822</v>
      </c>
      <c r="U9" s="31">
        <f t="shared" si="6"/>
        <v>69.5783</v>
      </c>
      <c r="V9" s="31">
        <f t="shared" si="7"/>
        <v>66.9373</v>
      </c>
      <c r="W9" s="32">
        <f t="shared" si="8"/>
        <v>73.44587644</v>
      </c>
    </row>
    <row r="10">
      <c r="B10" s="30" t="s">
        <v>27</v>
      </c>
      <c r="C10" s="31">
        <v>88.7216</v>
      </c>
      <c r="D10" s="31">
        <v>82.0482</v>
      </c>
      <c r="E10" s="31">
        <v>76.6149</v>
      </c>
      <c r="F10" s="31">
        <v>75.6197</v>
      </c>
      <c r="G10" s="31">
        <v>70.6073</v>
      </c>
      <c r="H10" s="31">
        <v>66.2655</v>
      </c>
      <c r="I10" s="31">
        <v>74.9938</v>
      </c>
      <c r="J10" s="31">
        <v>69.8694</v>
      </c>
      <c r="K10" s="32">
        <v>68.0916</v>
      </c>
      <c r="L10" s="33">
        <v>74.7591024079922</v>
      </c>
      <c r="M10" s="27"/>
      <c r="O10" s="30" t="s">
        <v>26</v>
      </c>
      <c r="P10" s="31">
        <f t="shared" si="1"/>
        <v>80.9204</v>
      </c>
      <c r="Q10" s="31">
        <f t="shared" si="2"/>
        <v>63.39933333</v>
      </c>
      <c r="R10" s="31">
        <f t="shared" si="3"/>
        <v>65.28456667</v>
      </c>
      <c r="S10" s="32">
        <f t="shared" si="4"/>
        <v>69.8680909</v>
      </c>
      <c r="T10" s="31">
        <f t="shared" si="5"/>
        <v>81.05613333</v>
      </c>
      <c r="U10" s="31">
        <f t="shared" si="6"/>
        <v>66.43493333</v>
      </c>
      <c r="V10" s="31">
        <f t="shared" si="7"/>
        <v>68.56173333</v>
      </c>
      <c r="W10" s="32">
        <f t="shared" si="8"/>
        <v>72.01758778</v>
      </c>
    </row>
    <row r="11">
      <c r="B11" s="30" t="s">
        <v>11</v>
      </c>
      <c r="C11" s="45">
        <v>88.6491</v>
      </c>
      <c r="D11" s="45">
        <v>81.3062</v>
      </c>
      <c r="E11" s="45">
        <v>77.7733</v>
      </c>
      <c r="F11" s="36">
        <v>77.4121</v>
      </c>
      <c r="G11" s="36">
        <v>74.3728</v>
      </c>
      <c r="H11" s="36">
        <v>69.3565</v>
      </c>
      <c r="I11" s="36">
        <v>79.658</v>
      </c>
      <c r="J11" s="36">
        <v>76.803</v>
      </c>
      <c r="K11" s="37">
        <v>74.4678</v>
      </c>
      <c r="L11" s="38">
        <v>77.7554295532364</v>
      </c>
      <c r="M11" s="27"/>
      <c r="O11" s="30" t="s">
        <v>27</v>
      </c>
      <c r="P11" s="31">
        <f t="shared" si="1"/>
        <v>82.46156667</v>
      </c>
      <c r="Q11" s="31">
        <f t="shared" si="2"/>
        <v>70.83083333</v>
      </c>
      <c r="R11" s="31">
        <f t="shared" si="3"/>
        <v>70.98493333</v>
      </c>
      <c r="S11" s="32">
        <f t="shared" si="4"/>
        <v>74.75910241</v>
      </c>
      <c r="T11" s="46">
        <f t="shared" si="5"/>
        <v>84.0259</v>
      </c>
      <c r="U11" s="31">
        <f t="shared" si="6"/>
        <v>73.21786667</v>
      </c>
      <c r="V11" s="31">
        <f t="shared" si="7"/>
        <v>71.201</v>
      </c>
      <c r="W11" s="32">
        <f t="shared" si="8"/>
        <v>76.14824534</v>
      </c>
    </row>
    <row r="12">
      <c r="A12" s="47" t="s">
        <v>29</v>
      </c>
      <c r="B12" s="30" t="s">
        <v>24</v>
      </c>
      <c r="C12" s="31">
        <v>89.4728</v>
      </c>
      <c r="D12" s="31">
        <v>85.9964</v>
      </c>
      <c r="E12" s="31">
        <v>79.7127</v>
      </c>
      <c r="F12" s="31">
        <v>72.8251</v>
      </c>
      <c r="G12" s="31">
        <v>67.7042</v>
      </c>
      <c r="H12" s="31">
        <v>63.2027</v>
      </c>
      <c r="I12" s="31">
        <v>67.1046</v>
      </c>
      <c r="J12" s="31">
        <v>62.2432</v>
      </c>
      <c r="K12" s="32">
        <v>60.6342</v>
      </c>
      <c r="L12" s="33">
        <v>72.09955824431</v>
      </c>
      <c r="M12" s="27"/>
      <c r="O12" s="30" t="s">
        <v>11</v>
      </c>
      <c r="P12" s="45">
        <f t="shared" si="1"/>
        <v>82.5762</v>
      </c>
      <c r="Q12" s="41">
        <f t="shared" si="2"/>
        <v>73.7138</v>
      </c>
      <c r="R12" s="41">
        <f t="shared" si="3"/>
        <v>76.97626667</v>
      </c>
      <c r="S12" s="42">
        <f t="shared" si="4"/>
        <v>77.75542955</v>
      </c>
      <c r="T12" s="45">
        <f t="shared" si="5"/>
        <v>83.71973333</v>
      </c>
      <c r="U12" s="39">
        <f t="shared" si="6"/>
        <v>73.24563333</v>
      </c>
      <c r="V12" s="39">
        <f t="shared" si="7"/>
        <v>73.52836667</v>
      </c>
      <c r="W12" s="40">
        <f t="shared" si="8"/>
        <v>76.83124926</v>
      </c>
    </row>
    <row r="13">
      <c r="B13" s="30" t="s">
        <v>8</v>
      </c>
      <c r="C13" s="31">
        <v>90.5473</v>
      </c>
      <c r="D13" s="31">
        <v>88.2571</v>
      </c>
      <c r="E13" s="31">
        <v>83.7026</v>
      </c>
      <c r="F13" s="31">
        <v>75.7698</v>
      </c>
      <c r="G13" s="31">
        <v>71.9118</v>
      </c>
      <c r="H13" s="31">
        <v>68.0944</v>
      </c>
      <c r="I13" s="43">
        <v>76.1943</v>
      </c>
      <c r="J13" s="43">
        <v>70.6332</v>
      </c>
      <c r="K13" s="48">
        <v>67.9997</v>
      </c>
      <c r="L13" s="33">
        <v>77.0122476916055</v>
      </c>
      <c r="M13" s="27"/>
      <c r="N13" s="47" t="s">
        <v>29</v>
      </c>
      <c r="O13" s="30" t="s">
        <v>24</v>
      </c>
      <c r="P13" s="31">
        <f t="shared" si="1"/>
        <v>85.06063333</v>
      </c>
      <c r="Q13" s="31">
        <f t="shared" si="2"/>
        <v>67.91066667</v>
      </c>
      <c r="R13" s="31">
        <f t="shared" si="3"/>
        <v>63.32733333</v>
      </c>
      <c r="S13" s="32">
        <f t="shared" si="4"/>
        <v>72.09955824</v>
      </c>
      <c r="T13" s="31">
        <f t="shared" si="5"/>
        <v>81.42213333</v>
      </c>
      <c r="U13" s="31">
        <f t="shared" si="6"/>
        <v>59.94473333</v>
      </c>
      <c r="V13" s="31">
        <f t="shared" si="7"/>
        <v>58.6798</v>
      </c>
      <c r="W13" s="32">
        <f t="shared" si="8"/>
        <v>66.6822</v>
      </c>
    </row>
    <row r="14">
      <c r="B14" s="30" t="s">
        <v>26</v>
      </c>
      <c r="C14" s="31">
        <v>88.1908</v>
      </c>
      <c r="D14" s="31">
        <v>86.0036</v>
      </c>
      <c r="E14" s="31">
        <v>80.787</v>
      </c>
      <c r="F14" s="31">
        <v>68.9718</v>
      </c>
      <c r="G14" s="31">
        <v>64.8756</v>
      </c>
      <c r="H14" s="31">
        <v>62.099</v>
      </c>
      <c r="I14" s="31">
        <v>67.9079</v>
      </c>
      <c r="J14" s="31">
        <v>67.9079</v>
      </c>
      <c r="K14" s="32">
        <v>60.6263</v>
      </c>
      <c r="L14" s="33">
        <v>71.3113169004824</v>
      </c>
      <c r="M14" s="27"/>
      <c r="O14" s="30" t="s">
        <v>8</v>
      </c>
      <c r="P14" s="31">
        <f t="shared" si="1"/>
        <v>87.50233333</v>
      </c>
      <c r="Q14" s="31">
        <f t="shared" si="2"/>
        <v>71.92533333</v>
      </c>
      <c r="R14" s="44">
        <f t="shared" si="3"/>
        <v>71.60906667</v>
      </c>
      <c r="S14" s="32">
        <f t="shared" si="4"/>
        <v>77.01224769</v>
      </c>
      <c r="T14" s="31">
        <f t="shared" si="5"/>
        <v>87.1505</v>
      </c>
      <c r="U14" s="31">
        <f t="shared" si="6"/>
        <v>71.22063333</v>
      </c>
      <c r="V14" s="31">
        <f t="shared" si="7"/>
        <v>69.3217</v>
      </c>
      <c r="W14" s="32">
        <f t="shared" si="8"/>
        <v>75.89761606</v>
      </c>
    </row>
    <row r="15">
      <c r="B15" s="30" t="s">
        <v>27</v>
      </c>
      <c r="C15" s="31">
        <v>90.5534</v>
      </c>
      <c r="D15" s="31">
        <v>88.3577</v>
      </c>
      <c r="E15" s="31">
        <v>83.4335</v>
      </c>
      <c r="F15" s="31">
        <v>75.6455</v>
      </c>
      <c r="G15" s="31">
        <v>70.9304</v>
      </c>
      <c r="H15" s="31">
        <v>66.9589</v>
      </c>
      <c r="I15" s="31">
        <v>73.3714</v>
      </c>
      <c r="J15" s="31">
        <v>67.4625</v>
      </c>
      <c r="K15" s="32">
        <v>64.6634</v>
      </c>
      <c r="L15" s="33">
        <v>75.7085059148968</v>
      </c>
      <c r="M15" s="27"/>
      <c r="O15" s="30" t="s">
        <v>26</v>
      </c>
      <c r="P15" s="31">
        <f t="shared" si="1"/>
        <v>84.9938</v>
      </c>
      <c r="Q15" s="31">
        <f t="shared" si="2"/>
        <v>65.31546667</v>
      </c>
      <c r="R15" s="31">
        <f t="shared" si="3"/>
        <v>65.4807</v>
      </c>
      <c r="S15" s="32">
        <f t="shared" si="4"/>
        <v>71.3113169</v>
      </c>
      <c r="T15" s="31">
        <f t="shared" si="5"/>
        <v>86.5979</v>
      </c>
      <c r="U15" s="31">
        <f t="shared" si="6"/>
        <v>68.34216667</v>
      </c>
      <c r="V15" s="31">
        <f t="shared" si="7"/>
        <v>70.0329</v>
      </c>
      <c r="W15" s="32">
        <f t="shared" si="8"/>
        <v>74.99099046</v>
      </c>
    </row>
    <row r="16">
      <c r="B16" s="30" t="s">
        <v>11</v>
      </c>
      <c r="C16" s="36">
        <v>90.6243</v>
      </c>
      <c r="D16" s="36">
        <v>89.074</v>
      </c>
      <c r="E16" s="36">
        <v>84.6306</v>
      </c>
      <c r="F16" s="36">
        <v>77.0718</v>
      </c>
      <c r="G16" s="36">
        <v>73.1492</v>
      </c>
      <c r="H16" s="36">
        <v>69.6564</v>
      </c>
      <c r="I16" s="45">
        <v>75.4069</v>
      </c>
      <c r="J16" s="45">
        <v>68.5339</v>
      </c>
      <c r="K16" s="49">
        <v>65.7904</v>
      </c>
      <c r="L16" s="38">
        <v>77.1041618786446</v>
      </c>
      <c r="M16" s="27"/>
      <c r="O16" s="30" t="s">
        <v>27</v>
      </c>
      <c r="P16" s="31">
        <f t="shared" si="1"/>
        <v>87.4482</v>
      </c>
      <c r="Q16" s="31">
        <f t="shared" si="2"/>
        <v>71.17826667</v>
      </c>
      <c r="R16" s="31">
        <f t="shared" si="3"/>
        <v>68.4991</v>
      </c>
      <c r="S16" s="32">
        <f t="shared" si="4"/>
        <v>75.70850591</v>
      </c>
      <c r="T16" s="31">
        <f t="shared" si="5"/>
        <v>87.72763333</v>
      </c>
      <c r="U16" s="31">
        <f t="shared" si="6"/>
        <v>71.38673333</v>
      </c>
      <c r="V16" s="31">
        <f t="shared" si="7"/>
        <v>71.11326667</v>
      </c>
      <c r="W16" s="32">
        <f t="shared" si="8"/>
        <v>76.74255964</v>
      </c>
    </row>
    <row r="17">
      <c r="A17" s="50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O17" s="30" t="s">
        <v>11</v>
      </c>
      <c r="P17" s="41">
        <f t="shared" si="1"/>
        <v>88.10963333</v>
      </c>
      <c r="Q17" s="39">
        <f t="shared" si="2"/>
        <v>73.29246667</v>
      </c>
      <c r="R17" s="45">
        <f t="shared" si="3"/>
        <v>69.9104</v>
      </c>
      <c r="S17" s="40">
        <f t="shared" si="4"/>
        <v>77.10416188</v>
      </c>
      <c r="T17" s="39">
        <f t="shared" si="5"/>
        <v>87.84186667</v>
      </c>
      <c r="U17" s="41">
        <f t="shared" si="6"/>
        <v>74.0257</v>
      </c>
      <c r="V17" s="41">
        <f t="shared" si="7"/>
        <v>73.08086667</v>
      </c>
      <c r="W17" s="42">
        <f t="shared" si="8"/>
        <v>78.31615689</v>
      </c>
    </row>
    <row r="18">
      <c r="A18" s="51" t="s">
        <v>4</v>
      </c>
      <c r="B18" s="26" t="s">
        <v>18</v>
      </c>
      <c r="C18" s="26" t="s">
        <v>19</v>
      </c>
      <c r="F18" s="26" t="s">
        <v>20</v>
      </c>
      <c r="I18" s="26" t="s">
        <v>21</v>
      </c>
      <c r="L18" s="26" t="s">
        <v>22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</row>
    <row r="19">
      <c r="A19" s="29" t="s">
        <v>23</v>
      </c>
      <c r="B19" s="30" t="s">
        <v>24</v>
      </c>
      <c r="C19" s="31">
        <v>85.7835</v>
      </c>
      <c r="D19" s="31">
        <v>81.7817</v>
      </c>
      <c r="E19" s="31">
        <v>76.7012</v>
      </c>
      <c r="F19" s="31">
        <v>64.0949</v>
      </c>
      <c r="G19" s="31">
        <v>60.0293</v>
      </c>
      <c r="H19" s="31">
        <v>55.71</v>
      </c>
      <c r="I19" s="31">
        <v>60.3848</v>
      </c>
      <c r="J19" s="31">
        <v>58.9254</v>
      </c>
      <c r="K19" s="32">
        <v>56.7292</v>
      </c>
      <c r="L19" s="33">
        <v>66.6822</v>
      </c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</row>
    <row r="20">
      <c r="B20" s="30" t="s">
        <v>8</v>
      </c>
      <c r="C20" s="31">
        <v>86.8866</v>
      </c>
      <c r="D20" s="31">
        <v>85.6354</v>
      </c>
      <c r="E20" s="31">
        <v>79.3564</v>
      </c>
      <c r="F20" s="31">
        <v>69.4363</v>
      </c>
      <c r="G20" s="31">
        <v>65.6037</v>
      </c>
      <c r="H20" s="31">
        <v>61.8399</v>
      </c>
      <c r="I20" s="31">
        <v>69.6626</v>
      </c>
      <c r="J20" s="31">
        <v>66.7638</v>
      </c>
      <c r="K20" s="32">
        <v>64.5338</v>
      </c>
      <c r="L20" s="33">
        <v>72.1909496804337</v>
      </c>
      <c r="M20" s="27"/>
      <c r="N20" s="52" t="s">
        <v>12</v>
      </c>
      <c r="T20" s="27"/>
      <c r="U20" s="27"/>
      <c r="V20" s="27"/>
      <c r="W20" s="27"/>
    </row>
    <row r="21">
      <c r="B21" s="30" t="s">
        <v>26</v>
      </c>
      <c r="C21" s="31">
        <v>87.2884</v>
      </c>
      <c r="D21" s="31">
        <v>85.4887</v>
      </c>
      <c r="E21" s="31">
        <v>79.0278</v>
      </c>
      <c r="F21" s="31">
        <v>70.9302</v>
      </c>
      <c r="G21" s="31">
        <v>66.731</v>
      </c>
      <c r="H21" s="31">
        <v>62.0532</v>
      </c>
      <c r="I21" s="31">
        <v>75.3012</v>
      </c>
      <c r="J21" s="31">
        <v>69.91</v>
      </c>
      <c r="K21" s="32">
        <v>66.5342</v>
      </c>
      <c r="L21" s="33">
        <v>73.6960804316328</v>
      </c>
      <c r="M21" s="27"/>
      <c r="N21" s="53" t="s">
        <v>30</v>
      </c>
      <c r="O21" s="54"/>
      <c r="P21" s="54"/>
      <c r="Q21" s="54"/>
      <c r="R21" s="54"/>
      <c r="S21" s="55"/>
      <c r="T21" s="27"/>
      <c r="U21" s="27"/>
      <c r="V21" s="27"/>
      <c r="W21" s="27"/>
    </row>
    <row r="22">
      <c r="B22" s="30" t="s">
        <v>27</v>
      </c>
      <c r="C22" s="31">
        <v>88.1368</v>
      </c>
      <c r="D22" s="31">
        <v>87.217</v>
      </c>
      <c r="E22" s="31">
        <v>82.5223</v>
      </c>
      <c r="F22" s="31">
        <v>73.3876</v>
      </c>
      <c r="G22" s="31">
        <v>69.0573</v>
      </c>
      <c r="H22" s="31">
        <v>64.9775</v>
      </c>
      <c r="I22" s="31">
        <v>75.4337</v>
      </c>
      <c r="J22" s="43">
        <v>75.4337</v>
      </c>
      <c r="K22" s="32">
        <v>69.051</v>
      </c>
      <c r="L22" s="33">
        <v>75.6065704171983</v>
      </c>
      <c r="M22" s="27"/>
      <c r="N22" s="56" t="s">
        <v>13</v>
      </c>
      <c r="S22" s="5"/>
      <c r="T22" s="27"/>
      <c r="U22" s="27"/>
      <c r="V22" s="27"/>
      <c r="W22" s="27"/>
    </row>
    <row r="23">
      <c r="B23" s="30" t="s">
        <v>11</v>
      </c>
      <c r="C23" s="36">
        <v>88.4703</v>
      </c>
      <c r="D23" s="36">
        <v>87.8624</v>
      </c>
      <c r="E23" s="36">
        <v>82.5595</v>
      </c>
      <c r="F23" s="36">
        <v>78.2636</v>
      </c>
      <c r="G23" s="36">
        <v>73.3394</v>
      </c>
      <c r="H23" s="36">
        <v>68.7137</v>
      </c>
      <c r="I23" s="36">
        <v>79.452</v>
      </c>
      <c r="J23" s="45">
        <v>74.9825</v>
      </c>
      <c r="K23" s="37">
        <v>72.1869</v>
      </c>
      <c r="L23" s="38">
        <v>78.4255956906691</v>
      </c>
      <c r="M23" s="27"/>
      <c r="N23" s="57" t="s">
        <v>14</v>
      </c>
      <c r="S23" s="5"/>
      <c r="T23" s="27"/>
      <c r="U23" s="27"/>
      <c r="V23" s="27"/>
      <c r="W23" s="27"/>
    </row>
    <row r="24">
      <c r="A24" s="29" t="s">
        <v>28</v>
      </c>
      <c r="B24" s="30" t="s">
        <v>24</v>
      </c>
      <c r="C24" s="31">
        <v>85.7835</v>
      </c>
      <c r="D24" s="31">
        <v>81.7817</v>
      </c>
      <c r="E24" s="31">
        <v>76.7012</v>
      </c>
      <c r="F24" s="31">
        <v>64.0949</v>
      </c>
      <c r="G24" s="31">
        <v>60.0293</v>
      </c>
      <c r="H24" s="31">
        <v>55.71</v>
      </c>
      <c r="I24" s="31">
        <v>60.3848</v>
      </c>
      <c r="J24" s="31">
        <v>58.9254</v>
      </c>
      <c r="K24" s="32">
        <v>56.7292</v>
      </c>
      <c r="L24" s="33">
        <v>66.6822</v>
      </c>
      <c r="M24" s="27"/>
      <c r="N24" s="58" t="s">
        <v>15</v>
      </c>
      <c r="O24" s="21"/>
      <c r="P24" s="21"/>
      <c r="Q24" s="21"/>
      <c r="R24" s="21"/>
      <c r="S24" s="22"/>
      <c r="T24" s="27"/>
      <c r="U24" s="27"/>
      <c r="V24" s="27"/>
      <c r="W24" s="27"/>
    </row>
    <row r="25">
      <c r="B25" s="30" t="s">
        <v>8</v>
      </c>
      <c r="C25" s="43">
        <v>89.4493</v>
      </c>
      <c r="D25" s="31">
        <v>84.3684</v>
      </c>
      <c r="E25" s="31">
        <v>77.6483</v>
      </c>
      <c r="F25" s="31">
        <v>74.1269</v>
      </c>
      <c r="G25" s="31">
        <v>69.5219</v>
      </c>
      <c r="H25" s="31">
        <v>65.0861</v>
      </c>
      <c r="I25" s="31">
        <v>71.5285</v>
      </c>
      <c r="J25" s="31">
        <v>65.4008</v>
      </c>
      <c r="K25" s="32">
        <v>63.8826</v>
      </c>
      <c r="L25" s="33">
        <v>73.4458764350006</v>
      </c>
      <c r="M25" s="27"/>
      <c r="N25" s="23" t="s">
        <v>16</v>
      </c>
      <c r="P25" s="59"/>
      <c r="Q25" s="59"/>
      <c r="R25" s="59"/>
      <c r="S25" s="59"/>
      <c r="T25" s="27"/>
      <c r="U25" s="27"/>
      <c r="V25" s="27"/>
      <c r="W25" s="27"/>
    </row>
    <row r="26">
      <c r="B26" s="30" t="s">
        <v>26</v>
      </c>
      <c r="C26" s="31">
        <v>87.4265</v>
      </c>
      <c r="D26" s="31">
        <v>79.6624</v>
      </c>
      <c r="E26" s="31">
        <v>76.0795</v>
      </c>
      <c r="F26" s="31">
        <v>70.3719</v>
      </c>
      <c r="G26" s="31">
        <v>66.3814</v>
      </c>
      <c r="H26" s="31">
        <v>62.5515</v>
      </c>
      <c r="I26" s="31">
        <v>73.7331</v>
      </c>
      <c r="J26" s="31">
        <v>67.2378</v>
      </c>
      <c r="K26" s="32">
        <v>64.7143</v>
      </c>
      <c r="L26" s="33">
        <v>72.0175877817825</v>
      </c>
      <c r="M26" s="27"/>
      <c r="N26" s="24" t="s">
        <v>17</v>
      </c>
      <c r="P26" s="59"/>
      <c r="Q26" s="59"/>
      <c r="R26" s="59"/>
      <c r="S26" s="59"/>
      <c r="T26" s="27"/>
      <c r="U26" s="27"/>
      <c r="V26" s="27"/>
      <c r="W26" s="27"/>
    </row>
    <row r="27">
      <c r="B27" s="30" t="s">
        <v>27</v>
      </c>
      <c r="C27" s="31">
        <v>88.6659</v>
      </c>
      <c r="D27" s="43">
        <v>84.8159</v>
      </c>
      <c r="E27" s="43">
        <v>78.5959</v>
      </c>
      <c r="F27" s="31">
        <v>78.0854</v>
      </c>
      <c r="G27" s="43">
        <v>73.1698</v>
      </c>
      <c r="H27" s="43">
        <v>68.3984</v>
      </c>
      <c r="I27" s="31">
        <v>75.3771</v>
      </c>
      <c r="J27" s="31">
        <v>70.2607</v>
      </c>
      <c r="K27" s="32">
        <v>67.9652</v>
      </c>
      <c r="L27" s="33">
        <v>76.1482453375022</v>
      </c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</row>
    <row r="28">
      <c r="B28" s="30" t="s">
        <v>11</v>
      </c>
      <c r="C28" s="45">
        <v>88.4098</v>
      </c>
      <c r="D28" s="45">
        <v>84.2757</v>
      </c>
      <c r="E28" s="45">
        <v>78.4737</v>
      </c>
      <c r="F28" s="36">
        <v>78.413</v>
      </c>
      <c r="G28" s="45">
        <v>73.0142</v>
      </c>
      <c r="H28" s="45">
        <v>68.3097</v>
      </c>
      <c r="I28" s="36">
        <v>77.7316</v>
      </c>
      <c r="J28" s="36">
        <v>72.5165</v>
      </c>
      <c r="K28" s="37">
        <v>70.337</v>
      </c>
      <c r="L28" s="38">
        <v>76.8312492561047</v>
      </c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</row>
    <row r="29">
      <c r="A29" s="47" t="s">
        <v>29</v>
      </c>
      <c r="B29" s="30" t="s">
        <v>24</v>
      </c>
      <c r="C29" s="31">
        <v>85.7835</v>
      </c>
      <c r="D29" s="31">
        <v>81.7817</v>
      </c>
      <c r="E29" s="31">
        <v>76.7012</v>
      </c>
      <c r="F29" s="31">
        <v>64.0949</v>
      </c>
      <c r="G29" s="31">
        <v>60.0293</v>
      </c>
      <c r="H29" s="31">
        <v>55.71</v>
      </c>
      <c r="I29" s="31">
        <v>60.3848</v>
      </c>
      <c r="J29" s="31">
        <v>58.9254</v>
      </c>
      <c r="K29" s="32">
        <v>56.7292</v>
      </c>
      <c r="L29" s="33">
        <v>66.6822</v>
      </c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</row>
    <row r="30">
      <c r="B30" s="30" t="s">
        <v>8</v>
      </c>
      <c r="C30" s="31">
        <v>90.1069</v>
      </c>
      <c r="D30" s="31">
        <v>88.075</v>
      </c>
      <c r="E30" s="31">
        <v>83.2696</v>
      </c>
      <c r="F30" s="31">
        <v>75.4413</v>
      </c>
      <c r="G30" s="31">
        <v>71.3309</v>
      </c>
      <c r="H30" s="31">
        <v>66.8897</v>
      </c>
      <c r="I30" s="31">
        <v>74.2301</v>
      </c>
      <c r="J30" s="31">
        <v>67.751</v>
      </c>
      <c r="K30" s="32">
        <v>65.984</v>
      </c>
      <c r="L30" s="33">
        <v>75.8976160601099</v>
      </c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</row>
    <row r="31">
      <c r="B31" s="30" t="s">
        <v>26</v>
      </c>
      <c r="C31" s="31">
        <v>89.6206</v>
      </c>
      <c r="D31" s="31">
        <v>87.6732</v>
      </c>
      <c r="E31" s="31">
        <v>82.4999</v>
      </c>
      <c r="F31" s="31">
        <v>72.5623</v>
      </c>
      <c r="G31" s="31">
        <v>68.0647</v>
      </c>
      <c r="H31" s="31">
        <v>64.3995</v>
      </c>
      <c r="I31" s="31">
        <v>74.561</v>
      </c>
      <c r="J31" s="31">
        <v>68.6937</v>
      </c>
      <c r="K31" s="32">
        <v>66.844</v>
      </c>
      <c r="L31" s="33">
        <v>74.990990462029</v>
      </c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</row>
    <row r="32">
      <c r="B32" s="30" t="s">
        <v>27</v>
      </c>
      <c r="C32" s="31">
        <v>90.3643</v>
      </c>
      <c r="D32" s="31">
        <v>88.549</v>
      </c>
      <c r="E32" s="31">
        <v>84.2696</v>
      </c>
      <c r="F32" s="31">
        <v>75.1808</v>
      </c>
      <c r="G32" s="31">
        <v>71.5429</v>
      </c>
      <c r="H32" s="31">
        <v>67.4365</v>
      </c>
      <c r="I32" s="31">
        <v>77.1344</v>
      </c>
      <c r="J32" s="31">
        <v>69.1599</v>
      </c>
      <c r="K32" s="32">
        <v>67.0455</v>
      </c>
      <c r="L32" s="33">
        <v>76.7425596360768</v>
      </c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</row>
    <row r="33">
      <c r="B33" s="30" t="s">
        <v>11</v>
      </c>
      <c r="C33" s="36">
        <v>90.372</v>
      </c>
      <c r="D33" s="36">
        <v>88.8701</v>
      </c>
      <c r="E33" s="36">
        <v>84.2835</v>
      </c>
      <c r="F33" s="36">
        <v>78.0843</v>
      </c>
      <c r="G33" s="36">
        <v>73.7215</v>
      </c>
      <c r="H33" s="36">
        <v>70.2713</v>
      </c>
      <c r="I33" s="36">
        <v>77.5922</v>
      </c>
      <c r="J33" s="36">
        <v>71.9407</v>
      </c>
      <c r="K33" s="37">
        <v>69.7097</v>
      </c>
      <c r="L33" s="38">
        <v>78.3161568881081</v>
      </c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</row>
  </sheetData>
  <mergeCells count="22">
    <mergeCell ref="N3:N7"/>
    <mergeCell ref="N8:N12"/>
    <mergeCell ref="N13:N17"/>
    <mergeCell ref="N20:S20"/>
    <mergeCell ref="N21:S21"/>
    <mergeCell ref="N22:S22"/>
    <mergeCell ref="N23:S23"/>
    <mergeCell ref="N24:S24"/>
    <mergeCell ref="A12:A16"/>
    <mergeCell ref="C18:E18"/>
    <mergeCell ref="F18:H18"/>
    <mergeCell ref="I18:K18"/>
    <mergeCell ref="A19:A23"/>
    <mergeCell ref="A24:A28"/>
    <mergeCell ref="A29:A33"/>
    <mergeCell ref="C1:E1"/>
    <mergeCell ref="F1:H1"/>
    <mergeCell ref="I1:K1"/>
    <mergeCell ref="P1:S1"/>
    <mergeCell ref="T1:W1"/>
    <mergeCell ref="A2:A6"/>
    <mergeCell ref="A7:A1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17" max="17" width="5.5"/>
    <col customWidth="1" min="18" max="18" width="19.13"/>
  </cols>
  <sheetData>
    <row r="1">
      <c r="A1" s="27"/>
      <c r="B1" s="25" t="s">
        <v>31</v>
      </c>
      <c r="R1" s="27"/>
      <c r="S1" s="25" t="s">
        <v>32</v>
      </c>
    </row>
    <row r="2">
      <c r="A2" s="47" t="s">
        <v>33</v>
      </c>
      <c r="B2" s="60" t="s">
        <v>18</v>
      </c>
      <c r="C2" s="30" t="s">
        <v>19</v>
      </c>
      <c r="J2" s="61" t="s">
        <v>20</v>
      </c>
      <c r="R2" s="47" t="s">
        <v>33</v>
      </c>
      <c r="S2" s="60" t="s">
        <v>18</v>
      </c>
      <c r="T2" s="30" t="s">
        <v>19</v>
      </c>
      <c r="AA2" s="61" t="s">
        <v>20</v>
      </c>
    </row>
    <row r="3">
      <c r="C3" s="61" t="s">
        <v>34</v>
      </c>
      <c r="D3" s="61" t="s">
        <v>35</v>
      </c>
      <c r="E3" s="61" t="s">
        <v>36</v>
      </c>
      <c r="F3" s="61" t="s">
        <v>37</v>
      </c>
      <c r="G3" s="61" t="s">
        <v>38</v>
      </c>
      <c r="H3" s="61" t="s">
        <v>39</v>
      </c>
      <c r="I3" s="62" t="s">
        <v>40</v>
      </c>
      <c r="J3" s="61" t="s">
        <v>34</v>
      </c>
      <c r="K3" s="61" t="s">
        <v>35</v>
      </c>
      <c r="L3" s="61" t="s">
        <v>36</v>
      </c>
      <c r="M3" s="61" t="s">
        <v>37</v>
      </c>
      <c r="N3" s="61" t="s">
        <v>38</v>
      </c>
      <c r="O3" s="61" t="s">
        <v>39</v>
      </c>
      <c r="P3" s="62" t="s">
        <v>40</v>
      </c>
      <c r="T3" s="61" t="s">
        <v>34</v>
      </c>
      <c r="U3" s="61" t="s">
        <v>35</v>
      </c>
      <c r="V3" s="61" t="s">
        <v>36</v>
      </c>
      <c r="W3" s="61" t="s">
        <v>37</v>
      </c>
      <c r="X3" s="61" t="s">
        <v>38</v>
      </c>
      <c r="Y3" s="61" t="s">
        <v>39</v>
      </c>
      <c r="Z3" s="62" t="s">
        <v>40</v>
      </c>
      <c r="AA3" s="61" t="s">
        <v>34</v>
      </c>
      <c r="AB3" s="61" t="s">
        <v>35</v>
      </c>
      <c r="AC3" s="61" t="s">
        <v>36</v>
      </c>
      <c r="AD3" s="61" t="s">
        <v>37</v>
      </c>
      <c r="AE3" s="61" t="s">
        <v>38</v>
      </c>
      <c r="AF3" s="61" t="s">
        <v>39</v>
      </c>
      <c r="AG3" s="62" t="s">
        <v>40</v>
      </c>
    </row>
    <row r="4">
      <c r="A4" s="29" t="s">
        <v>23</v>
      </c>
      <c r="B4" s="30" t="s">
        <v>24</v>
      </c>
      <c r="C4" s="63">
        <v>17.02</v>
      </c>
      <c r="D4" s="63">
        <v>72.54</v>
      </c>
      <c r="E4" s="63">
        <v>17.96</v>
      </c>
      <c r="F4" s="63">
        <v>14.83</v>
      </c>
      <c r="G4" s="64">
        <v>802.0</v>
      </c>
      <c r="H4" s="64">
        <v>250.0</v>
      </c>
      <c r="I4" s="65">
        <v>16.93</v>
      </c>
      <c r="J4" s="63">
        <v>10.24</v>
      </c>
      <c r="K4" s="66">
        <v>64.9</v>
      </c>
      <c r="L4" s="66">
        <v>8.66</v>
      </c>
      <c r="M4" s="63">
        <v>9.48</v>
      </c>
      <c r="N4" s="64">
        <v>1157.0</v>
      </c>
      <c r="O4" s="64">
        <v>398.0</v>
      </c>
      <c r="P4" s="65">
        <v>12.55</v>
      </c>
      <c r="R4" s="29" t="s">
        <v>23</v>
      </c>
      <c r="S4" s="30" t="s">
        <v>24</v>
      </c>
      <c r="T4" s="63">
        <v>28.53595</v>
      </c>
      <c r="U4" s="63">
        <v>73.7183</v>
      </c>
      <c r="V4" s="63">
        <v>30.80545</v>
      </c>
      <c r="W4" s="63">
        <v>33.0487</v>
      </c>
      <c r="X4" s="64">
        <v>249.85</v>
      </c>
      <c r="Y4" s="64">
        <v>218.45</v>
      </c>
      <c r="Z4" s="65">
        <v>27.3286</v>
      </c>
      <c r="AA4" s="63">
        <v>13.1456</v>
      </c>
      <c r="AB4" s="63">
        <v>64.1819</v>
      </c>
      <c r="AC4" s="63">
        <v>11.54008</v>
      </c>
      <c r="AD4" s="63">
        <v>16.175165</v>
      </c>
      <c r="AE4" s="64">
        <v>369.1</v>
      </c>
      <c r="AF4" s="64">
        <v>348.75</v>
      </c>
      <c r="AG4" s="65">
        <v>15.55905</v>
      </c>
    </row>
    <row r="5">
      <c r="B5" s="30" t="s">
        <v>8</v>
      </c>
      <c r="C5" s="67">
        <v>27.95</v>
      </c>
      <c r="D5" s="63">
        <v>74.94</v>
      </c>
      <c r="E5" s="67">
        <v>26.59</v>
      </c>
      <c r="F5" s="67">
        <v>31.15</v>
      </c>
      <c r="G5" s="68">
        <v>242.0</v>
      </c>
      <c r="H5" s="64">
        <v>183.0</v>
      </c>
      <c r="I5" s="69">
        <v>30.57</v>
      </c>
      <c r="J5" s="70">
        <v>12.03</v>
      </c>
      <c r="K5" s="63">
        <v>63.9</v>
      </c>
      <c r="L5" s="71">
        <v>8.29</v>
      </c>
      <c r="M5" s="70">
        <v>13.08</v>
      </c>
      <c r="N5" s="72">
        <v>593.0</v>
      </c>
      <c r="O5" s="72">
        <v>376.0</v>
      </c>
      <c r="P5" s="73">
        <v>18.04</v>
      </c>
      <c r="S5" s="30" t="s">
        <v>8</v>
      </c>
      <c r="T5" s="63">
        <v>33.78044999999999</v>
      </c>
      <c r="U5" s="63">
        <v>75.16415</v>
      </c>
      <c r="V5" s="63">
        <v>36.94955000000001</v>
      </c>
      <c r="W5" s="63">
        <v>42.16085</v>
      </c>
      <c r="X5" s="64">
        <v>89.2</v>
      </c>
      <c r="Y5" s="64">
        <v>126.35</v>
      </c>
      <c r="Z5" s="65">
        <v>32.01395000000001</v>
      </c>
      <c r="AA5" s="74">
        <v>15.4023</v>
      </c>
      <c r="AB5" s="63">
        <v>63.83905000000001</v>
      </c>
      <c r="AC5" s="75">
        <v>14.69361</v>
      </c>
      <c r="AD5" s="75">
        <v>20.40955</v>
      </c>
      <c r="AE5" s="64">
        <v>189.2</v>
      </c>
      <c r="AF5" s="64">
        <v>258.0</v>
      </c>
      <c r="AG5" s="76">
        <v>16.9432</v>
      </c>
    </row>
    <row r="6">
      <c r="B6" s="30" t="s">
        <v>41</v>
      </c>
      <c r="C6" s="63">
        <v>22.2</v>
      </c>
      <c r="D6" s="63">
        <v>75.31</v>
      </c>
      <c r="E6" s="71">
        <v>17.08</v>
      </c>
      <c r="F6" s="71">
        <v>25.17</v>
      </c>
      <c r="G6" s="72">
        <v>301.0</v>
      </c>
      <c r="H6" s="64">
        <v>236.0</v>
      </c>
      <c r="I6" s="65">
        <v>29.71</v>
      </c>
      <c r="J6" s="63">
        <v>10.55</v>
      </c>
      <c r="K6" s="63">
        <v>64.76</v>
      </c>
      <c r="L6" s="71">
        <v>8.04</v>
      </c>
      <c r="M6" s="71">
        <v>12.72</v>
      </c>
      <c r="N6" s="68">
        <v>570.0</v>
      </c>
      <c r="O6" s="68">
        <v>309.0</v>
      </c>
      <c r="P6" s="65">
        <v>14.36</v>
      </c>
      <c r="S6" s="30" t="s">
        <v>41</v>
      </c>
      <c r="T6" s="71">
        <v>31.4689</v>
      </c>
      <c r="U6" s="63">
        <v>74.99980000000001</v>
      </c>
      <c r="V6" s="77">
        <v>31.49145</v>
      </c>
      <c r="W6" s="77">
        <v>39.99915000000001</v>
      </c>
      <c r="X6" s="72">
        <v>103.5</v>
      </c>
      <c r="Y6" s="64">
        <v>142.0</v>
      </c>
      <c r="Z6" s="65">
        <v>32.35619999999999</v>
      </c>
      <c r="AA6" s="63">
        <v>13.93695</v>
      </c>
      <c r="AB6" s="75">
        <v>64.68839999999999</v>
      </c>
      <c r="AC6" s="63">
        <v>14.538915</v>
      </c>
      <c r="AD6" s="63">
        <v>19.25395</v>
      </c>
      <c r="AE6" s="78">
        <v>142.8</v>
      </c>
      <c r="AF6" s="78">
        <v>191.65</v>
      </c>
      <c r="AG6" s="65">
        <v>13.84035</v>
      </c>
    </row>
    <row r="7">
      <c r="B7" s="30" t="s">
        <v>11</v>
      </c>
      <c r="C7" s="79">
        <v>25.35</v>
      </c>
      <c r="D7" s="80">
        <v>75.86</v>
      </c>
      <c r="E7" s="81">
        <v>22.38</v>
      </c>
      <c r="F7" s="79">
        <v>27.23</v>
      </c>
      <c r="G7" s="82">
        <v>250.0</v>
      </c>
      <c r="H7" s="83">
        <v>181.0</v>
      </c>
      <c r="I7" s="84">
        <v>30.44</v>
      </c>
      <c r="J7" s="79">
        <v>10.06</v>
      </c>
      <c r="K7" s="79">
        <v>64.42</v>
      </c>
      <c r="L7" s="79">
        <v>6.42</v>
      </c>
      <c r="M7" s="79">
        <v>11.54</v>
      </c>
      <c r="N7" s="85">
        <v>592.0</v>
      </c>
      <c r="O7" s="85">
        <v>386.0</v>
      </c>
      <c r="P7" s="84">
        <v>16.3</v>
      </c>
      <c r="S7" s="30" t="s">
        <v>11</v>
      </c>
      <c r="T7" s="86">
        <v>35.83325</v>
      </c>
      <c r="U7" s="80">
        <v>75.71300000000001</v>
      </c>
      <c r="V7" s="87">
        <v>41.27555000000001</v>
      </c>
      <c r="W7" s="80">
        <v>44.9458</v>
      </c>
      <c r="X7" s="88">
        <v>79.5</v>
      </c>
      <c r="Y7" s="88">
        <v>110.3</v>
      </c>
      <c r="Z7" s="89">
        <v>32.3394</v>
      </c>
      <c r="AA7" s="79">
        <v>14.14395</v>
      </c>
      <c r="AB7" s="79">
        <v>64.56550000000001</v>
      </c>
      <c r="AC7" s="90">
        <v>14.249615</v>
      </c>
      <c r="AD7" s="79">
        <v>19.2106</v>
      </c>
      <c r="AE7" s="85">
        <v>161.15</v>
      </c>
      <c r="AF7" s="85">
        <v>239.3</v>
      </c>
      <c r="AG7" s="84">
        <v>14.7986</v>
      </c>
    </row>
    <row r="8">
      <c r="A8" s="29" t="s">
        <v>42</v>
      </c>
      <c r="B8" s="30" t="s">
        <v>24</v>
      </c>
      <c r="C8" s="63">
        <v>15.47</v>
      </c>
      <c r="D8" s="63">
        <v>72.23</v>
      </c>
      <c r="E8" s="63">
        <v>20.13</v>
      </c>
      <c r="F8" s="63">
        <v>12.83</v>
      </c>
      <c r="G8" s="64">
        <v>655.0</v>
      </c>
      <c r="H8" s="64">
        <v>201.0</v>
      </c>
      <c r="I8" s="65">
        <v>12.56</v>
      </c>
      <c r="J8" s="63">
        <v>10.42</v>
      </c>
      <c r="K8" s="63">
        <v>65.08</v>
      </c>
      <c r="L8" s="63">
        <v>10.87</v>
      </c>
      <c r="M8" s="63">
        <v>9.4</v>
      </c>
      <c r="N8" s="64">
        <v>986.0</v>
      </c>
      <c r="O8" s="91">
        <v>362.0</v>
      </c>
      <c r="P8" s="65">
        <v>10.23</v>
      </c>
      <c r="R8" s="29" t="s">
        <v>42</v>
      </c>
      <c r="S8" s="30" t="s">
        <v>24</v>
      </c>
      <c r="T8" s="63">
        <v>27.98435000000001</v>
      </c>
      <c r="U8" s="63">
        <v>73.50529999999999</v>
      </c>
      <c r="V8" s="63">
        <v>33.69325</v>
      </c>
      <c r="W8" s="63">
        <v>31.34880000000001</v>
      </c>
      <c r="X8" s="64">
        <v>262.7</v>
      </c>
      <c r="Y8" s="64">
        <v>190.1</v>
      </c>
      <c r="Z8" s="65">
        <v>24.2023</v>
      </c>
      <c r="AA8" s="63">
        <v>14.1748</v>
      </c>
      <c r="AB8" s="66">
        <v>64.98305</v>
      </c>
      <c r="AC8" s="63">
        <v>13.5819</v>
      </c>
      <c r="AD8" s="63">
        <v>17.12835</v>
      </c>
      <c r="AE8" s="64">
        <v>390.55</v>
      </c>
      <c r="AF8" s="64">
        <v>335.2</v>
      </c>
      <c r="AG8" s="65">
        <v>15.2946</v>
      </c>
    </row>
    <row r="9">
      <c r="B9" s="30" t="s">
        <v>8</v>
      </c>
      <c r="C9" s="71">
        <v>26.6</v>
      </c>
      <c r="D9" s="71">
        <v>74.61</v>
      </c>
      <c r="E9" s="71">
        <v>26.48</v>
      </c>
      <c r="F9" s="71">
        <v>27.54</v>
      </c>
      <c r="G9" s="72">
        <v>350.0</v>
      </c>
      <c r="H9" s="68">
        <v>159.0</v>
      </c>
      <c r="I9" s="92">
        <v>28.02</v>
      </c>
      <c r="J9" s="63">
        <v>10.82</v>
      </c>
      <c r="K9" s="63">
        <v>64.78</v>
      </c>
      <c r="L9" s="71">
        <v>8.26</v>
      </c>
      <c r="M9" s="63">
        <v>10.79</v>
      </c>
      <c r="N9" s="72">
        <v>778.0</v>
      </c>
      <c r="O9" s="72">
        <v>405.0</v>
      </c>
      <c r="P9" s="65">
        <v>14.71</v>
      </c>
      <c r="S9" s="30" t="s">
        <v>8</v>
      </c>
      <c r="T9" s="67">
        <v>36.31894999999999</v>
      </c>
      <c r="U9" s="63">
        <v>74.83755000000001</v>
      </c>
      <c r="V9" s="74">
        <v>41.2263</v>
      </c>
      <c r="W9" s="74">
        <v>44.5895</v>
      </c>
      <c r="X9" s="72">
        <v>161.15</v>
      </c>
      <c r="Y9" s="72">
        <v>137.8</v>
      </c>
      <c r="Z9" s="93">
        <v>33.3299</v>
      </c>
      <c r="AA9" s="63">
        <v>13.97345</v>
      </c>
      <c r="AB9" s="63">
        <v>64.13724999999998</v>
      </c>
      <c r="AC9" s="63">
        <v>13.06969</v>
      </c>
      <c r="AD9" s="63">
        <v>18.04930000000001</v>
      </c>
      <c r="AE9" s="64">
        <v>251.7</v>
      </c>
      <c r="AF9" s="72">
        <v>302.55</v>
      </c>
      <c r="AG9" s="65">
        <v>15.669</v>
      </c>
    </row>
    <row r="10">
      <c r="B10" s="30" t="s">
        <v>41</v>
      </c>
      <c r="C10" s="71">
        <v>26.44</v>
      </c>
      <c r="D10" s="63">
        <v>73.48</v>
      </c>
      <c r="E10" s="71">
        <v>25.77</v>
      </c>
      <c r="F10" s="71">
        <v>28.77</v>
      </c>
      <c r="G10" s="72">
        <v>362.0</v>
      </c>
      <c r="H10" s="72">
        <v>180.0</v>
      </c>
      <c r="I10" s="92">
        <v>29.26</v>
      </c>
      <c r="J10" s="63">
        <v>8.8</v>
      </c>
      <c r="K10" s="63">
        <v>64.11</v>
      </c>
      <c r="L10" s="63">
        <v>7.55</v>
      </c>
      <c r="M10" s="63">
        <v>8.07</v>
      </c>
      <c r="N10" s="64">
        <v>820.0</v>
      </c>
      <c r="O10" s="64">
        <v>372.0</v>
      </c>
      <c r="P10" s="65">
        <v>10.57</v>
      </c>
      <c r="S10" s="30" t="s">
        <v>41</v>
      </c>
      <c r="T10" s="71">
        <v>33.66255</v>
      </c>
      <c r="U10" s="63">
        <v>73.70729999999999</v>
      </c>
      <c r="V10" s="77">
        <v>36.80475000000001</v>
      </c>
      <c r="W10" s="77">
        <v>42.3729</v>
      </c>
      <c r="X10" s="72">
        <v>148.55</v>
      </c>
      <c r="Y10" s="78">
        <v>135.25</v>
      </c>
      <c r="Z10" s="94">
        <v>32.41675</v>
      </c>
      <c r="AA10" s="63">
        <v>11.813635</v>
      </c>
      <c r="AB10" s="63">
        <v>63.753</v>
      </c>
      <c r="AC10" s="63">
        <v>10.77094</v>
      </c>
      <c r="AD10" s="63">
        <v>14.452755</v>
      </c>
      <c r="AE10" s="64">
        <v>304.3</v>
      </c>
      <c r="AF10" s="64">
        <v>303.05</v>
      </c>
      <c r="AG10" s="65">
        <v>13.35075</v>
      </c>
    </row>
    <row r="11">
      <c r="B11" s="30" t="s">
        <v>11</v>
      </c>
      <c r="C11" s="95">
        <v>31.65</v>
      </c>
      <c r="D11" s="95">
        <v>75.36</v>
      </c>
      <c r="E11" s="95">
        <v>31.29</v>
      </c>
      <c r="F11" s="95">
        <v>38.11</v>
      </c>
      <c r="G11" s="83">
        <v>218.0</v>
      </c>
      <c r="H11" s="85">
        <v>164.0</v>
      </c>
      <c r="I11" s="96">
        <v>33.26</v>
      </c>
      <c r="J11" s="95">
        <v>14.8</v>
      </c>
      <c r="K11" s="80">
        <v>65.12</v>
      </c>
      <c r="L11" s="95">
        <v>11.46</v>
      </c>
      <c r="M11" s="95">
        <v>18.34</v>
      </c>
      <c r="N11" s="83">
        <v>446.0</v>
      </c>
      <c r="O11" s="85">
        <v>363.0</v>
      </c>
      <c r="P11" s="96">
        <v>19.64</v>
      </c>
      <c r="S11" s="30" t="s">
        <v>11</v>
      </c>
      <c r="T11" s="79">
        <v>32.8513</v>
      </c>
      <c r="U11" s="80">
        <v>75.04085</v>
      </c>
      <c r="V11" s="79">
        <v>33.74170000000001</v>
      </c>
      <c r="W11" s="79">
        <v>41.22015</v>
      </c>
      <c r="X11" s="88">
        <v>109.25</v>
      </c>
      <c r="Y11" s="85">
        <v>152.25</v>
      </c>
      <c r="Z11" s="84">
        <v>32.9898</v>
      </c>
      <c r="AA11" s="87">
        <v>16.50945</v>
      </c>
      <c r="AB11" s="79">
        <v>64.71115</v>
      </c>
      <c r="AC11" s="87">
        <v>16.0532</v>
      </c>
      <c r="AD11" s="87">
        <v>21.77615</v>
      </c>
      <c r="AE11" s="88">
        <v>164.65</v>
      </c>
      <c r="AF11" s="88">
        <v>254.2</v>
      </c>
      <c r="AG11" s="89">
        <v>17.6054</v>
      </c>
    </row>
    <row r="12">
      <c r="A12" s="47" t="s">
        <v>29</v>
      </c>
      <c r="B12" s="30" t="s">
        <v>24</v>
      </c>
      <c r="C12" s="63">
        <v>18.91</v>
      </c>
      <c r="D12" s="63">
        <v>74.91</v>
      </c>
      <c r="E12" s="63">
        <v>21.51</v>
      </c>
      <c r="F12" s="63">
        <v>17.04</v>
      </c>
      <c r="G12" s="64">
        <v>597.0</v>
      </c>
      <c r="H12" s="64">
        <v>306.0</v>
      </c>
      <c r="I12" s="65">
        <v>17.3</v>
      </c>
      <c r="J12" s="63">
        <v>8.69</v>
      </c>
      <c r="K12" s="66">
        <v>65.73</v>
      </c>
      <c r="L12" s="63">
        <v>9.09</v>
      </c>
      <c r="M12" s="63">
        <v>6.75</v>
      </c>
      <c r="N12" s="64">
        <v>957.0</v>
      </c>
      <c r="O12" s="64">
        <v>491.0</v>
      </c>
      <c r="P12" s="65">
        <v>8.54</v>
      </c>
      <c r="R12" s="47" t="s">
        <v>29</v>
      </c>
      <c r="S12" s="30" t="s">
        <v>24</v>
      </c>
      <c r="T12" s="63">
        <v>32.27629999999999</v>
      </c>
      <c r="U12" s="66">
        <v>75.76645</v>
      </c>
      <c r="V12" s="63">
        <v>37.59784999999999</v>
      </c>
      <c r="W12" s="63">
        <v>36.8517</v>
      </c>
      <c r="X12" s="64">
        <v>207.1</v>
      </c>
      <c r="Y12" s="64">
        <v>204.8</v>
      </c>
      <c r="Z12" s="65">
        <v>28.788</v>
      </c>
      <c r="AA12" s="63">
        <v>13.900185</v>
      </c>
      <c r="AB12" s="63">
        <v>65.14175</v>
      </c>
      <c r="AC12" s="63">
        <v>14.363875</v>
      </c>
      <c r="AD12" s="63">
        <v>16.24487</v>
      </c>
      <c r="AE12" s="64">
        <v>332.5</v>
      </c>
      <c r="AF12" s="64">
        <v>380.3</v>
      </c>
      <c r="AG12" s="65">
        <v>13.86463</v>
      </c>
    </row>
    <row r="13">
      <c r="B13" s="30" t="s">
        <v>8</v>
      </c>
      <c r="C13" s="71">
        <v>20.77</v>
      </c>
      <c r="D13" s="63">
        <v>74.96</v>
      </c>
      <c r="E13" s="63">
        <v>18.64</v>
      </c>
      <c r="F13" s="71">
        <v>20.4</v>
      </c>
      <c r="G13" s="72">
        <v>481.0</v>
      </c>
      <c r="H13" s="72">
        <v>222.0</v>
      </c>
      <c r="I13" s="92">
        <v>24.16</v>
      </c>
      <c r="J13" s="63">
        <v>9.47</v>
      </c>
      <c r="K13" s="63">
        <v>64.48</v>
      </c>
      <c r="L13" s="67">
        <v>9.62</v>
      </c>
      <c r="M13" s="63">
        <v>8.2</v>
      </c>
      <c r="N13" s="91">
        <v>864.0</v>
      </c>
      <c r="O13" s="72">
        <v>423.0</v>
      </c>
      <c r="P13" s="65">
        <v>9.61</v>
      </c>
      <c r="S13" s="30" t="s">
        <v>8</v>
      </c>
      <c r="T13" s="71">
        <v>34.30655000000001</v>
      </c>
      <c r="U13" s="63">
        <v>75.269</v>
      </c>
      <c r="V13" s="77">
        <v>36.89075</v>
      </c>
      <c r="W13" s="77">
        <v>41.35305</v>
      </c>
      <c r="X13" s="72">
        <v>176.95</v>
      </c>
      <c r="Y13" s="72">
        <v>158.85</v>
      </c>
      <c r="Z13" s="94">
        <v>32.92295000000001</v>
      </c>
      <c r="AA13" s="63">
        <v>15.04177</v>
      </c>
      <c r="AB13" s="63">
        <v>63.87325</v>
      </c>
      <c r="AC13" s="63">
        <v>14.62252</v>
      </c>
      <c r="AD13" s="63">
        <v>19.091375</v>
      </c>
      <c r="AE13" s="64">
        <v>328.55</v>
      </c>
      <c r="AF13" s="64">
        <v>354.9</v>
      </c>
      <c r="AG13" s="65">
        <v>15.927125</v>
      </c>
    </row>
    <row r="14">
      <c r="B14" s="30" t="s">
        <v>41</v>
      </c>
      <c r="C14" s="71">
        <v>20.34</v>
      </c>
      <c r="D14" s="63">
        <v>74.27</v>
      </c>
      <c r="E14" s="71">
        <v>16.52</v>
      </c>
      <c r="F14" s="71">
        <v>19.44</v>
      </c>
      <c r="G14" s="72">
        <v>545.0</v>
      </c>
      <c r="H14" s="68">
        <v>200.0</v>
      </c>
      <c r="I14" s="92">
        <v>26.05</v>
      </c>
      <c r="J14" s="63">
        <v>8.76</v>
      </c>
      <c r="K14" s="63">
        <v>65.67</v>
      </c>
      <c r="L14" s="63">
        <v>8.84</v>
      </c>
      <c r="M14" s="71">
        <v>7.6</v>
      </c>
      <c r="N14" s="64">
        <v>1159.0</v>
      </c>
      <c r="O14" s="68">
        <v>354.0</v>
      </c>
      <c r="P14" s="92">
        <v>8.91</v>
      </c>
      <c r="S14" s="30" t="s">
        <v>41</v>
      </c>
      <c r="T14" s="63">
        <v>35.20519999999999</v>
      </c>
      <c r="U14" s="63">
        <v>74.40725</v>
      </c>
      <c r="V14" s="63">
        <v>39.16905</v>
      </c>
      <c r="W14" s="63">
        <v>42.92035</v>
      </c>
      <c r="X14" s="72">
        <v>179.4</v>
      </c>
      <c r="Y14" s="78">
        <v>148.25</v>
      </c>
      <c r="Z14" s="65">
        <v>33.1138</v>
      </c>
      <c r="AA14" s="63">
        <v>13.93696</v>
      </c>
      <c r="AB14" s="63">
        <v>64.501</v>
      </c>
      <c r="AC14" s="63">
        <v>13.544635</v>
      </c>
      <c r="AD14" s="77">
        <v>17.6679</v>
      </c>
      <c r="AE14" s="64">
        <v>397.15</v>
      </c>
      <c r="AF14" s="64">
        <v>348.95</v>
      </c>
      <c r="AG14" s="65">
        <v>14.92769</v>
      </c>
    </row>
    <row r="15">
      <c r="B15" s="30" t="s">
        <v>11</v>
      </c>
      <c r="C15" s="95">
        <v>25.8</v>
      </c>
      <c r="D15" s="80">
        <v>75.0</v>
      </c>
      <c r="E15" s="95">
        <v>22.69</v>
      </c>
      <c r="F15" s="95">
        <v>27.47</v>
      </c>
      <c r="G15" s="83">
        <v>417.0</v>
      </c>
      <c r="H15" s="85">
        <v>214.0</v>
      </c>
      <c r="I15" s="96">
        <v>30.83</v>
      </c>
      <c r="J15" s="80">
        <v>10.97</v>
      </c>
      <c r="K15" s="79">
        <v>65.62</v>
      </c>
      <c r="L15" s="81">
        <v>9.03</v>
      </c>
      <c r="M15" s="80">
        <v>10.37</v>
      </c>
      <c r="N15" s="82">
        <v>878.0</v>
      </c>
      <c r="O15" s="85">
        <v>430.0</v>
      </c>
      <c r="P15" s="89">
        <v>13.78</v>
      </c>
      <c r="S15" s="30" t="s">
        <v>11</v>
      </c>
      <c r="T15" s="95">
        <v>38.07145</v>
      </c>
      <c r="U15" s="79">
        <v>75.22735</v>
      </c>
      <c r="V15" s="87">
        <v>42.52395</v>
      </c>
      <c r="W15" s="87">
        <v>48.3757</v>
      </c>
      <c r="X15" s="88">
        <v>132.35</v>
      </c>
      <c r="Y15" s="85">
        <v>149.6</v>
      </c>
      <c r="Z15" s="97">
        <v>35.21005</v>
      </c>
      <c r="AA15" s="95">
        <v>16.9881</v>
      </c>
      <c r="AB15" s="80">
        <v>65.42695000000002</v>
      </c>
      <c r="AC15" s="87">
        <v>16.260535</v>
      </c>
      <c r="AD15" s="98">
        <v>22.5518</v>
      </c>
      <c r="AE15" s="99">
        <v>249.8</v>
      </c>
      <c r="AF15" s="99">
        <v>317.65</v>
      </c>
      <c r="AG15" s="97">
        <v>18.3611</v>
      </c>
    </row>
    <row r="16">
      <c r="A16" s="50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R16" s="50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</row>
    <row r="17">
      <c r="A17" s="50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R17" s="50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</row>
    <row r="18">
      <c r="A18" s="50"/>
      <c r="B18" s="100" t="s">
        <v>43</v>
      </c>
      <c r="R18" s="50"/>
      <c r="S18" s="100" t="s">
        <v>44</v>
      </c>
    </row>
    <row r="19">
      <c r="A19" s="47" t="s">
        <v>33</v>
      </c>
      <c r="B19" s="60" t="s">
        <v>18</v>
      </c>
      <c r="C19" s="30" t="s">
        <v>19</v>
      </c>
      <c r="J19" s="61" t="s">
        <v>20</v>
      </c>
      <c r="R19" s="47" t="s">
        <v>33</v>
      </c>
      <c r="S19" s="60" t="s">
        <v>18</v>
      </c>
      <c r="T19" s="30" t="s">
        <v>19</v>
      </c>
      <c r="AA19" s="61" t="s">
        <v>20</v>
      </c>
    </row>
    <row r="20">
      <c r="C20" s="61" t="s">
        <v>34</v>
      </c>
      <c r="D20" s="61" t="s">
        <v>35</v>
      </c>
      <c r="E20" s="61" t="s">
        <v>36</v>
      </c>
      <c r="F20" s="61" t="s">
        <v>37</v>
      </c>
      <c r="G20" s="61" t="s">
        <v>38</v>
      </c>
      <c r="H20" s="61" t="s">
        <v>39</v>
      </c>
      <c r="I20" s="62" t="s">
        <v>40</v>
      </c>
      <c r="J20" s="61" t="s">
        <v>34</v>
      </c>
      <c r="K20" s="61" t="s">
        <v>35</v>
      </c>
      <c r="L20" s="61" t="s">
        <v>36</v>
      </c>
      <c r="M20" s="61" t="s">
        <v>37</v>
      </c>
      <c r="N20" s="61" t="s">
        <v>38</v>
      </c>
      <c r="O20" s="61" t="s">
        <v>39</v>
      </c>
      <c r="P20" s="62" t="s">
        <v>40</v>
      </c>
      <c r="T20" s="61" t="s">
        <v>34</v>
      </c>
      <c r="U20" s="61" t="s">
        <v>35</v>
      </c>
      <c r="V20" s="61" t="s">
        <v>36</v>
      </c>
      <c r="W20" s="61" t="s">
        <v>37</v>
      </c>
      <c r="X20" s="61" t="s">
        <v>38</v>
      </c>
      <c r="Y20" s="61" t="s">
        <v>39</v>
      </c>
      <c r="Z20" s="62" t="s">
        <v>40</v>
      </c>
      <c r="AA20" s="61" t="s">
        <v>34</v>
      </c>
      <c r="AB20" s="61" t="s">
        <v>35</v>
      </c>
      <c r="AC20" s="61" t="s">
        <v>36</v>
      </c>
      <c r="AD20" s="61" t="s">
        <v>37</v>
      </c>
      <c r="AE20" s="61" t="s">
        <v>38</v>
      </c>
      <c r="AF20" s="61" t="s">
        <v>39</v>
      </c>
      <c r="AG20" s="62" t="s">
        <v>40</v>
      </c>
    </row>
    <row r="21">
      <c r="A21" s="29" t="s">
        <v>23</v>
      </c>
      <c r="B21" s="30" t="s">
        <v>24</v>
      </c>
      <c r="C21" s="63">
        <v>17.02</v>
      </c>
      <c r="D21" s="63">
        <v>72.54</v>
      </c>
      <c r="E21" s="63">
        <v>17.96</v>
      </c>
      <c r="F21" s="63">
        <v>14.83</v>
      </c>
      <c r="G21" s="64">
        <v>802.0</v>
      </c>
      <c r="H21" s="64">
        <v>250.0</v>
      </c>
      <c r="I21" s="65">
        <v>16.93</v>
      </c>
      <c r="J21" s="63">
        <v>10.24</v>
      </c>
      <c r="K21" s="63">
        <v>64.9</v>
      </c>
      <c r="L21" s="66">
        <v>8.66</v>
      </c>
      <c r="M21" s="63">
        <v>9.48</v>
      </c>
      <c r="N21" s="64">
        <v>1157.0</v>
      </c>
      <c r="O21" s="64">
        <v>398.0</v>
      </c>
      <c r="P21" s="65">
        <v>12.55</v>
      </c>
      <c r="R21" s="29" t="s">
        <v>23</v>
      </c>
      <c r="S21" s="30" t="s">
        <v>24</v>
      </c>
      <c r="T21" s="63">
        <v>28.53595</v>
      </c>
      <c r="U21" s="63">
        <v>73.7183</v>
      </c>
      <c r="V21" s="63">
        <v>30.80545</v>
      </c>
      <c r="W21" s="63">
        <v>33.0487</v>
      </c>
      <c r="X21" s="64">
        <v>249.85</v>
      </c>
      <c r="Y21" s="64">
        <v>218.45</v>
      </c>
      <c r="Z21" s="65">
        <v>27.3286</v>
      </c>
      <c r="AA21" s="63">
        <v>13.1456</v>
      </c>
      <c r="AB21" s="63">
        <v>64.1819</v>
      </c>
      <c r="AC21" s="63">
        <v>11.54008</v>
      </c>
      <c r="AD21" s="63">
        <v>16.175165</v>
      </c>
      <c r="AE21" s="64">
        <v>369.1</v>
      </c>
      <c r="AF21" s="64">
        <v>348.75</v>
      </c>
      <c r="AG21" s="65">
        <v>15.55905</v>
      </c>
    </row>
    <row r="22">
      <c r="B22" s="30" t="s">
        <v>8</v>
      </c>
      <c r="C22" s="66">
        <v>26.7</v>
      </c>
      <c r="D22" s="67">
        <v>76.79</v>
      </c>
      <c r="E22" s="66">
        <v>22.28</v>
      </c>
      <c r="F22" s="66">
        <v>30.87</v>
      </c>
      <c r="G22" s="64">
        <v>265.0</v>
      </c>
      <c r="H22" s="101">
        <v>197.0</v>
      </c>
      <c r="I22" s="102">
        <v>33.01</v>
      </c>
      <c r="J22" s="63">
        <v>10.52</v>
      </c>
      <c r="K22" s="71">
        <v>64.6</v>
      </c>
      <c r="L22" s="63">
        <v>7.05</v>
      </c>
      <c r="M22" s="63">
        <v>11.79</v>
      </c>
      <c r="N22" s="64">
        <v>721.0</v>
      </c>
      <c r="O22" s="64">
        <v>414.0</v>
      </c>
      <c r="P22" s="65">
        <v>16.35</v>
      </c>
      <c r="S22" s="30" t="s">
        <v>8</v>
      </c>
      <c r="T22" s="74">
        <v>36.2915</v>
      </c>
      <c r="U22" s="74">
        <v>76.47965</v>
      </c>
      <c r="V22" s="77">
        <v>37.85814999999999</v>
      </c>
      <c r="W22" s="77">
        <v>45.6753</v>
      </c>
      <c r="X22" s="78">
        <v>85.4</v>
      </c>
      <c r="Y22" s="72">
        <v>124.4</v>
      </c>
      <c r="Z22" s="76">
        <v>35.43810000000001</v>
      </c>
      <c r="AA22" s="63">
        <v>14.6346</v>
      </c>
      <c r="AB22" s="77">
        <v>64.33209999999998</v>
      </c>
      <c r="AC22" s="63">
        <v>14.297025</v>
      </c>
      <c r="AD22" s="63">
        <v>20.1387</v>
      </c>
      <c r="AE22" s="72">
        <v>177.75</v>
      </c>
      <c r="AF22" s="72">
        <v>273.4</v>
      </c>
      <c r="AG22" s="65">
        <v>15.62915</v>
      </c>
    </row>
    <row r="23">
      <c r="B23" s="30" t="s">
        <v>41</v>
      </c>
      <c r="C23" s="71">
        <v>22.36</v>
      </c>
      <c r="D23" s="71">
        <v>75.35</v>
      </c>
      <c r="E23" s="63">
        <v>16.93</v>
      </c>
      <c r="F23" s="63">
        <v>25.03</v>
      </c>
      <c r="G23" s="64">
        <v>382.0</v>
      </c>
      <c r="H23" s="72">
        <v>204.0</v>
      </c>
      <c r="I23" s="92">
        <v>30.54</v>
      </c>
      <c r="J23" s="71">
        <v>10.79</v>
      </c>
      <c r="K23" s="71">
        <v>64.97</v>
      </c>
      <c r="L23" s="63">
        <v>7.75</v>
      </c>
      <c r="M23" s="63">
        <v>11.46</v>
      </c>
      <c r="N23" s="91">
        <v>594.0</v>
      </c>
      <c r="O23" s="91">
        <v>328.0</v>
      </c>
      <c r="P23" s="92">
        <v>15.46</v>
      </c>
      <c r="S23" s="30" t="s">
        <v>41</v>
      </c>
      <c r="T23" s="63">
        <v>30.71455</v>
      </c>
      <c r="U23" s="77">
        <v>75.06954999999999</v>
      </c>
      <c r="V23" s="63">
        <v>30.36365</v>
      </c>
      <c r="W23" s="63">
        <v>38.782</v>
      </c>
      <c r="X23" s="64">
        <v>107.75</v>
      </c>
      <c r="Y23" s="72">
        <v>135.15</v>
      </c>
      <c r="Z23" s="94">
        <v>32.40115</v>
      </c>
      <c r="AA23" s="75">
        <v>15.05675</v>
      </c>
      <c r="AB23" s="63">
        <v>64.65455000000001</v>
      </c>
      <c r="AC23" s="74">
        <v>14.994285</v>
      </c>
      <c r="AD23" s="77">
        <v>20.63275000000001</v>
      </c>
      <c r="AE23" s="91">
        <v>166.05</v>
      </c>
      <c r="AF23" s="91">
        <v>245.8</v>
      </c>
      <c r="AG23" s="94">
        <v>15.6314</v>
      </c>
    </row>
    <row r="24">
      <c r="B24" s="30" t="s">
        <v>11</v>
      </c>
      <c r="C24" s="81">
        <v>26.47</v>
      </c>
      <c r="D24" s="81">
        <v>76.12</v>
      </c>
      <c r="E24" s="79">
        <v>21.98</v>
      </c>
      <c r="F24" s="81">
        <v>29.88</v>
      </c>
      <c r="G24" s="83">
        <v>242.0</v>
      </c>
      <c r="H24" s="82">
        <v>217.0</v>
      </c>
      <c r="I24" s="103">
        <v>32.94</v>
      </c>
      <c r="J24" s="95">
        <v>12.32</v>
      </c>
      <c r="K24" s="95">
        <v>65.67</v>
      </c>
      <c r="L24" s="81">
        <v>8.34</v>
      </c>
      <c r="M24" s="95">
        <v>13.34</v>
      </c>
      <c r="N24" s="82">
        <v>665.0</v>
      </c>
      <c r="O24" s="82">
        <v>427.0</v>
      </c>
      <c r="P24" s="96">
        <v>18.85</v>
      </c>
      <c r="S24" s="30" t="s">
        <v>11</v>
      </c>
      <c r="T24" s="79">
        <v>35.709</v>
      </c>
      <c r="U24" s="90">
        <v>75.76275</v>
      </c>
      <c r="V24" s="80">
        <v>38.0823</v>
      </c>
      <c r="W24" s="87">
        <v>46.04885</v>
      </c>
      <c r="X24" s="82">
        <v>89.45</v>
      </c>
      <c r="Y24" s="99">
        <v>122.3</v>
      </c>
      <c r="Z24" s="104">
        <v>34.52535</v>
      </c>
      <c r="AA24" s="90">
        <v>14.98535</v>
      </c>
      <c r="AB24" s="87">
        <v>65.3174</v>
      </c>
      <c r="AC24" s="79">
        <v>13.96589</v>
      </c>
      <c r="AD24" s="74">
        <v>21.03925</v>
      </c>
      <c r="AE24" s="82">
        <v>187.1</v>
      </c>
      <c r="AF24" s="82">
        <v>281.65</v>
      </c>
      <c r="AG24" s="105">
        <v>16.7084</v>
      </c>
    </row>
    <row r="25">
      <c r="A25" s="29" t="s">
        <v>42</v>
      </c>
      <c r="B25" s="30" t="s">
        <v>24</v>
      </c>
      <c r="C25" s="63">
        <v>15.47</v>
      </c>
      <c r="D25" s="63">
        <v>72.23</v>
      </c>
      <c r="E25" s="63">
        <v>20.13</v>
      </c>
      <c r="F25" s="63">
        <v>12.83</v>
      </c>
      <c r="G25" s="64">
        <v>655.0</v>
      </c>
      <c r="H25" s="91">
        <v>201.0</v>
      </c>
      <c r="I25" s="65">
        <v>12.56</v>
      </c>
      <c r="J25" s="63">
        <v>10.42</v>
      </c>
      <c r="K25" s="63">
        <v>65.08</v>
      </c>
      <c r="L25" s="66">
        <v>10.87</v>
      </c>
      <c r="M25" s="63">
        <v>9.4</v>
      </c>
      <c r="N25" s="64">
        <v>986.0</v>
      </c>
      <c r="O25" s="64">
        <v>362.0</v>
      </c>
      <c r="P25" s="65">
        <v>10.23</v>
      </c>
      <c r="R25" s="29" t="s">
        <v>42</v>
      </c>
      <c r="S25" s="30" t="s">
        <v>24</v>
      </c>
      <c r="T25" s="63">
        <v>27.98435000000001</v>
      </c>
      <c r="U25" s="63">
        <v>73.50529999999999</v>
      </c>
      <c r="V25" s="63">
        <v>33.69325</v>
      </c>
      <c r="W25" s="63">
        <v>31.34880000000001</v>
      </c>
      <c r="X25" s="64">
        <v>262.7</v>
      </c>
      <c r="Y25" s="64">
        <v>190.1</v>
      </c>
      <c r="Z25" s="65">
        <v>24.2023</v>
      </c>
      <c r="AA25" s="63">
        <v>14.1748</v>
      </c>
      <c r="AB25" s="63">
        <v>64.98305</v>
      </c>
      <c r="AC25" s="63">
        <v>13.5819</v>
      </c>
      <c r="AD25" s="63">
        <v>17.12835</v>
      </c>
      <c r="AE25" s="64">
        <v>390.55</v>
      </c>
      <c r="AF25" s="64">
        <v>335.2</v>
      </c>
      <c r="AG25" s="65">
        <v>15.2946</v>
      </c>
    </row>
    <row r="26">
      <c r="B26" s="30" t="s">
        <v>8</v>
      </c>
      <c r="C26" s="63">
        <v>20.92</v>
      </c>
      <c r="D26" s="63">
        <v>74.24</v>
      </c>
      <c r="E26" s="63">
        <v>20.06</v>
      </c>
      <c r="F26" s="63">
        <v>20.63</v>
      </c>
      <c r="G26" s="64">
        <v>589.0</v>
      </c>
      <c r="H26" s="64">
        <v>207.0</v>
      </c>
      <c r="I26" s="65">
        <v>22.47</v>
      </c>
      <c r="J26" s="71">
        <v>11.05</v>
      </c>
      <c r="K26" s="71">
        <v>65.48</v>
      </c>
      <c r="L26" s="63">
        <v>8.08</v>
      </c>
      <c r="M26" s="71">
        <v>10.84</v>
      </c>
      <c r="N26" s="64">
        <v>852.0</v>
      </c>
      <c r="O26" s="64">
        <v>444.0</v>
      </c>
      <c r="P26" s="92">
        <v>15.69</v>
      </c>
      <c r="S26" s="30" t="s">
        <v>8</v>
      </c>
      <c r="T26" s="63">
        <v>32.1962</v>
      </c>
      <c r="U26" s="77">
        <v>75.13965</v>
      </c>
      <c r="V26" s="63">
        <v>34.48085</v>
      </c>
      <c r="W26" s="63">
        <v>38.54315</v>
      </c>
      <c r="X26" s="64">
        <v>226.3</v>
      </c>
      <c r="Y26" s="64">
        <v>175.75</v>
      </c>
      <c r="Z26" s="65">
        <v>31.22865</v>
      </c>
      <c r="AA26" s="77">
        <v>15.70595</v>
      </c>
      <c r="AB26" s="74">
        <v>65.9082</v>
      </c>
      <c r="AC26" s="75">
        <v>14.89737</v>
      </c>
      <c r="AD26" s="75">
        <v>20.8736</v>
      </c>
      <c r="AE26" s="78">
        <v>230.75</v>
      </c>
      <c r="AF26" s="64">
        <v>307.5</v>
      </c>
      <c r="AG26" s="94">
        <v>17.11015</v>
      </c>
    </row>
    <row r="27">
      <c r="B27" s="30" t="s">
        <v>41</v>
      </c>
      <c r="C27" s="63">
        <v>23.64</v>
      </c>
      <c r="D27" s="71">
        <v>73.88</v>
      </c>
      <c r="E27" s="63">
        <v>22.69</v>
      </c>
      <c r="F27" s="63">
        <v>23.78</v>
      </c>
      <c r="G27" s="64">
        <v>551.0</v>
      </c>
      <c r="H27" s="91">
        <v>201.0</v>
      </c>
      <c r="I27" s="65">
        <v>26.11</v>
      </c>
      <c r="J27" s="71">
        <v>10.85</v>
      </c>
      <c r="K27" s="71">
        <v>65.46</v>
      </c>
      <c r="L27" s="71">
        <v>10.18</v>
      </c>
      <c r="M27" s="71">
        <v>10.24</v>
      </c>
      <c r="N27" s="78">
        <v>662.0</v>
      </c>
      <c r="O27" s="68">
        <v>334.0</v>
      </c>
      <c r="P27" s="92">
        <v>12.01</v>
      </c>
      <c r="S27" s="30" t="s">
        <v>41</v>
      </c>
      <c r="T27" s="63">
        <v>31.6934</v>
      </c>
      <c r="U27" s="77">
        <v>74.75760000000001</v>
      </c>
      <c r="V27" s="63">
        <v>32.3916</v>
      </c>
      <c r="W27" s="63">
        <v>39.0452</v>
      </c>
      <c r="X27" s="64">
        <v>190.7</v>
      </c>
      <c r="Y27" s="64">
        <v>166.4</v>
      </c>
      <c r="Z27" s="65">
        <v>32.0837</v>
      </c>
      <c r="AA27" s="77">
        <v>14.6881</v>
      </c>
      <c r="AB27" s="77">
        <v>65.1948</v>
      </c>
      <c r="AC27" s="77">
        <v>14.277925</v>
      </c>
      <c r="AD27" s="77">
        <v>18.61425</v>
      </c>
      <c r="AE27" s="72">
        <v>261.2</v>
      </c>
      <c r="AF27" s="78">
        <v>293.1</v>
      </c>
      <c r="AG27" s="94">
        <v>15.61815</v>
      </c>
    </row>
    <row r="28">
      <c r="B28" s="30" t="s">
        <v>11</v>
      </c>
      <c r="C28" s="80">
        <v>27.95</v>
      </c>
      <c r="D28" s="80">
        <v>75.25</v>
      </c>
      <c r="E28" s="80">
        <v>28.89</v>
      </c>
      <c r="F28" s="80">
        <v>29.13</v>
      </c>
      <c r="G28" s="99">
        <v>416.0</v>
      </c>
      <c r="H28" s="82">
        <v>214.0</v>
      </c>
      <c r="I28" s="89">
        <v>28.27</v>
      </c>
      <c r="J28" s="80">
        <v>12.17</v>
      </c>
      <c r="K28" s="95">
        <v>65.84</v>
      </c>
      <c r="L28" s="79">
        <v>9.06</v>
      </c>
      <c r="M28" s="80">
        <v>11.72</v>
      </c>
      <c r="N28" s="82">
        <v>920.0</v>
      </c>
      <c r="O28" s="82">
        <v>453.0</v>
      </c>
      <c r="P28" s="89">
        <v>17.02</v>
      </c>
      <c r="S28" s="30" t="s">
        <v>11</v>
      </c>
      <c r="T28" s="98">
        <v>35.2146</v>
      </c>
      <c r="U28" s="87">
        <v>75.64795000000001</v>
      </c>
      <c r="V28" s="98">
        <v>38.33114999999999</v>
      </c>
      <c r="W28" s="98">
        <v>42.1411</v>
      </c>
      <c r="X28" s="99">
        <v>165.6</v>
      </c>
      <c r="Y28" s="99">
        <v>163.85</v>
      </c>
      <c r="Z28" s="97">
        <v>33.54799999999999</v>
      </c>
      <c r="AA28" s="80">
        <v>15.88435</v>
      </c>
      <c r="AB28" s="90">
        <v>65.5957</v>
      </c>
      <c r="AC28" s="79">
        <v>14.83211</v>
      </c>
      <c r="AD28" s="63">
        <v>20.29685</v>
      </c>
      <c r="AE28" s="82">
        <v>301.4</v>
      </c>
      <c r="AF28" s="82">
        <v>352.1</v>
      </c>
      <c r="AG28" s="97">
        <v>17.74455</v>
      </c>
    </row>
    <row r="29">
      <c r="A29" s="47" t="s">
        <v>29</v>
      </c>
      <c r="B29" s="30" t="s">
        <v>24</v>
      </c>
      <c r="C29" s="63">
        <v>18.91</v>
      </c>
      <c r="D29" s="63">
        <v>74.91</v>
      </c>
      <c r="E29" s="66">
        <v>21.51</v>
      </c>
      <c r="F29" s="63">
        <v>17.04</v>
      </c>
      <c r="G29" s="64">
        <v>597.0</v>
      </c>
      <c r="H29" s="64">
        <v>306.0</v>
      </c>
      <c r="I29" s="65">
        <v>17.3</v>
      </c>
      <c r="J29" s="63">
        <v>8.69</v>
      </c>
      <c r="K29" s="63">
        <v>65.73</v>
      </c>
      <c r="L29" s="63">
        <v>9.09</v>
      </c>
      <c r="M29" s="63">
        <v>6.75</v>
      </c>
      <c r="N29" s="64">
        <v>957.0</v>
      </c>
      <c r="O29" s="64">
        <v>491.0</v>
      </c>
      <c r="P29" s="65">
        <v>8.54</v>
      </c>
      <c r="R29" s="47" t="s">
        <v>29</v>
      </c>
      <c r="S29" s="30" t="s">
        <v>24</v>
      </c>
      <c r="T29" s="63">
        <v>32.27629999999999</v>
      </c>
      <c r="U29" s="63">
        <v>75.76645</v>
      </c>
      <c r="V29" s="63">
        <v>37.59784999999999</v>
      </c>
      <c r="W29" s="63">
        <v>36.8517</v>
      </c>
      <c r="X29" s="64">
        <v>207.1</v>
      </c>
      <c r="Y29" s="64">
        <v>204.8</v>
      </c>
      <c r="Z29" s="65">
        <v>28.788</v>
      </c>
      <c r="AA29" s="63">
        <v>13.900185</v>
      </c>
      <c r="AB29" s="63">
        <v>65.14175</v>
      </c>
      <c r="AC29" s="63">
        <v>14.363875</v>
      </c>
      <c r="AD29" s="63">
        <v>16.24487</v>
      </c>
      <c r="AE29" s="64">
        <v>332.5</v>
      </c>
      <c r="AF29" s="64">
        <v>380.3</v>
      </c>
      <c r="AG29" s="65">
        <v>13.86463</v>
      </c>
    </row>
    <row r="30">
      <c r="B30" s="30" t="s">
        <v>8</v>
      </c>
      <c r="C30" s="63">
        <v>19.73</v>
      </c>
      <c r="D30" s="67">
        <v>75.86</v>
      </c>
      <c r="E30" s="71">
        <v>19.17</v>
      </c>
      <c r="F30" s="63">
        <v>17.47</v>
      </c>
      <c r="G30" s="64">
        <v>566.0</v>
      </c>
      <c r="H30" s="64">
        <v>228.0</v>
      </c>
      <c r="I30" s="65">
        <v>20.87</v>
      </c>
      <c r="J30" s="71">
        <v>11.67</v>
      </c>
      <c r="K30" s="67">
        <v>66.53</v>
      </c>
      <c r="L30" s="63">
        <v>8.46</v>
      </c>
      <c r="M30" s="67">
        <v>12.03</v>
      </c>
      <c r="N30" s="68">
        <v>732.0</v>
      </c>
      <c r="O30" s="64">
        <v>427.0</v>
      </c>
      <c r="P30" s="92">
        <v>16.62</v>
      </c>
      <c r="S30" s="30" t="s">
        <v>8</v>
      </c>
      <c r="T30" s="63">
        <v>32.05795000000001</v>
      </c>
      <c r="U30" s="77">
        <v>75.9298</v>
      </c>
      <c r="V30" s="63">
        <v>32.96665000000001</v>
      </c>
      <c r="W30" s="63">
        <v>36.57125000000001</v>
      </c>
      <c r="X30" s="64">
        <v>215.5</v>
      </c>
      <c r="Y30" s="64">
        <v>189.65</v>
      </c>
      <c r="Z30" s="65">
        <v>32.0847</v>
      </c>
      <c r="AA30" s="75">
        <v>16.69290000000001</v>
      </c>
      <c r="AB30" s="77">
        <v>65.87335</v>
      </c>
      <c r="AC30" s="75">
        <v>15.9569</v>
      </c>
      <c r="AD30" s="74">
        <v>22.74555</v>
      </c>
      <c r="AE30" s="78">
        <v>218.45</v>
      </c>
      <c r="AF30" s="72">
        <v>307.45</v>
      </c>
      <c r="AG30" s="93">
        <v>17.9268</v>
      </c>
    </row>
    <row r="31">
      <c r="B31" s="30" t="s">
        <v>41</v>
      </c>
      <c r="C31" s="63">
        <v>19.56</v>
      </c>
      <c r="D31" s="71">
        <v>75.68</v>
      </c>
      <c r="E31" s="63">
        <v>15.8</v>
      </c>
      <c r="F31" s="63">
        <v>18.3</v>
      </c>
      <c r="G31" s="64">
        <v>705.0</v>
      </c>
      <c r="H31" s="64">
        <v>292.0</v>
      </c>
      <c r="I31" s="69">
        <v>25.41</v>
      </c>
      <c r="J31" s="71">
        <v>8.99</v>
      </c>
      <c r="K31" s="71">
        <v>65.89</v>
      </c>
      <c r="L31" s="70">
        <v>9.54</v>
      </c>
      <c r="M31" s="63">
        <v>7.16</v>
      </c>
      <c r="N31" s="72">
        <v>1004.0</v>
      </c>
      <c r="O31" s="91">
        <v>381.0</v>
      </c>
      <c r="P31" s="65">
        <v>8.75</v>
      </c>
      <c r="S31" s="30" t="s">
        <v>41</v>
      </c>
      <c r="T31" s="75">
        <v>37.67455</v>
      </c>
      <c r="U31" s="77">
        <v>76.0795</v>
      </c>
      <c r="V31" s="75">
        <v>42.45235000000001</v>
      </c>
      <c r="W31" s="75">
        <v>46.0868</v>
      </c>
      <c r="X31" s="91">
        <v>196.95</v>
      </c>
      <c r="Y31" s="91">
        <v>170.25</v>
      </c>
      <c r="Z31" s="93">
        <v>34.70015</v>
      </c>
      <c r="AA31" s="77">
        <v>14.160035</v>
      </c>
      <c r="AB31" s="77">
        <v>65.39570000000002</v>
      </c>
      <c r="AC31" s="77">
        <v>13.58866</v>
      </c>
      <c r="AD31" s="63">
        <v>16.328205</v>
      </c>
      <c r="AE31" s="72">
        <v>373.85</v>
      </c>
      <c r="AF31" s="72">
        <v>333.0</v>
      </c>
      <c r="AG31" s="94">
        <v>15.191735</v>
      </c>
    </row>
    <row r="32">
      <c r="B32" s="30" t="s">
        <v>11</v>
      </c>
      <c r="C32" s="80">
        <v>20.46</v>
      </c>
      <c r="D32" s="81">
        <v>75.5</v>
      </c>
      <c r="E32" s="79">
        <v>17.62</v>
      </c>
      <c r="F32" s="80">
        <v>19.91</v>
      </c>
      <c r="G32" s="99">
        <v>564.0</v>
      </c>
      <c r="H32" s="99">
        <v>218.0</v>
      </c>
      <c r="I32" s="84">
        <v>24.46</v>
      </c>
      <c r="J32" s="95">
        <v>11.84</v>
      </c>
      <c r="K32" s="81">
        <v>66.47</v>
      </c>
      <c r="L32" s="79">
        <v>7.96</v>
      </c>
      <c r="M32" s="81">
        <v>11.62</v>
      </c>
      <c r="N32" s="85">
        <v>800.0</v>
      </c>
      <c r="O32" s="82">
        <v>451.0</v>
      </c>
      <c r="P32" s="96">
        <v>18.28</v>
      </c>
      <c r="S32" s="30" t="s">
        <v>11</v>
      </c>
      <c r="T32" s="79">
        <v>35.26045</v>
      </c>
      <c r="U32" s="87">
        <v>76.20225</v>
      </c>
      <c r="V32" s="79">
        <v>38.5152</v>
      </c>
      <c r="W32" s="79">
        <v>41.82715</v>
      </c>
      <c r="X32" s="82">
        <v>205.2</v>
      </c>
      <c r="Y32" s="82">
        <v>172.7</v>
      </c>
      <c r="Z32" s="84">
        <v>33.43395</v>
      </c>
      <c r="AA32" s="79">
        <v>16.20325</v>
      </c>
      <c r="AB32" s="87">
        <v>66.5437</v>
      </c>
      <c r="AC32" s="79">
        <v>15.235535</v>
      </c>
      <c r="AD32" s="79">
        <v>21.8491</v>
      </c>
      <c r="AE32" s="85">
        <v>235.9</v>
      </c>
      <c r="AF32" s="88">
        <v>306.4</v>
      </c>
      <c r="AG32" s="84">
        <v>17.92355</v>
      </c>
    </row>
    <row r="36">
      <c r="A36" s="52" t="s">
        <v>12</v>
      </c>
    </row>
    <row r="37">
      <c r="A37" s="53" t="s">
        <v>30</v>
      </c>
      <c r="B37" s="54"/>
      <c r="C37" s="54"/>
      <c r="D37" s="54"/>
      <c r="E37" s="54"/>
      <c r="F37" s="55"/>
    </row>
    <row r="38">
      <c r="A38" s="56" t="s">
        <v>45</v>
      </c>
      <c r="F38" s="5"/>
    </row>
    <row r="39">
      <c r="A39" s="58" t="s">
        <v>46</v>
      </c>
      <c r="B39" s="21"/>
      <c r="C39" s="21"/>
      <c r="D39" s="21"/>
      <c r="E39" s="21"/>
      <c r="F39" s="22"/>
    </row>
    <row r="40">
      <c r="A40" s="59"/>
    </row>
    <row r="41">
      <c r="A41" s="27"/>
      <c r="B41" s="27"/>
      <c r="C41" s="27"/>
      <c r="D41" s="27"/>
      <c r="E41" s="27"/>
      <c r="F41" s="27"/>
    </row>
    <row r="42">
      <c r="A42" s="106" t="s">
        <v>47</v>
      </c>
      <c r="E42" s="27"/>
      <c r="F42" s="27"/>
    </row>
    <row r="43">
      <c r="A43" s="23" t="s">
        <v>16</v>
      </c>
      <c r="B43" s="27"/>
      <c r="C43" s="27"/>
      <c r="D43" s="27"/>
      <c r="E43" s="27"/>
      <c r="F43" s="27"/>
    </row>
    <row r="44">
      <c r="A44" s="24" t="s">
        <v>17</v>
      </c>
      <c r="B44" s="27"/>
      <c r="C44" s="27"/>
      <c r="D44" s="27"/>
      <c r="E44" s="27"/>
      <c r="F44" s="27"/>
    </row>
  </sheetData>
  <mergeCells count="38">
    <mergeCell ref="B1:P1"/>
    <mergeCell ref="S1:AG1"/>
    <mergeCell ref="B2:B3"/>
    <mergeCell ref="C2:I2"/>
    <mergeCell ref="R2:R3"/>
    <mergeCell ref="S2:S3"/>
    <mergeCell ref="AA2:AG2"/>
    <mergeCell ref="J2:P2"/>
    <mergeCell ref="T2:Z2"/>
    <mergeCell ref="R4:R7"/>
    <mergeCell ref="R8:R11"/>
    <mergeCell ref="R12:R15"/>
    <mergeCell ref="B18:P18"/>
    <mergeCell ref="S18:AG18"/>
    <mergeCell ref="A25:A28"/>
    <mergeCell ref="A29:A32"/>
    <mergeCell ref="A36:F36"/>
    <mergeCell ref="A37:F37"/>
    <mergeCell ref="A38:F38"/>
    <mergeCell ref="A39:F39"/>
    <mergeCell ref="A40:F40"/>
    <mergeCell ref="A42:D42"/>
    <mergeCell ref="A2:A3"/>
    <mergeCell ref="A4:A7"/>
    <mergeCell ref="A8:A11"/>
    <mergeCell ref="A12:A15"/>
    <mergeCell ref="A19:A20"/>
    <mergeCell ref="B19:B20"/>
    <mergeCell ref="A21:A24"/>
    <mergeCell ref="R25:R28"/>
    <mergeCell ref="R29:R32"/>
    <mergeCell ref="C19:I19"/>
    <mergeCell ref="J19:P19"/>
    <mergeCell ref="R19:R20"/>
    <mergeCell ref="S19:S20"/>
    <mergeCell ref="T19:Z19"/>
    <mergeCell ref="AA19:AG19"/>
    <mergeCell ref="R21:R24"/>
  </mergeCells>
  <drawing r:id="rId1"/>
</worksheet>
</file>